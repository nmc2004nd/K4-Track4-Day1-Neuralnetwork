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<sst xmlns="http://schemas.openxmlformats.org/spreadsheetml/2006/main" count="550" uniqueCount="268">
  <si>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</si>
  <si>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</si>
  <si>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</si>
  <si>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</si>
  <si>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</si>
  <si>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</si>
  <si>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</si>
  <si>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</si>
  <si>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</si>
  <si>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</si>
  <si>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</si>
  <si>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</si>
  <si>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</si>
  <si>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</si>
  <si>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</si>
  <si>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</si>
  <si>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</si>
  <si>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</si>
  <si>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</si>
  <si>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</si>
  <si>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</si>
  <si>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</si>
  <si>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</si>
  <si>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</si>
  <si>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</si>
  <si>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</si>
  <si>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</si>
  <si>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</si>
  <si>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</si>
  <si>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</si>
  <si>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</si>
  <si>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</si>
  <si>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</si>
  <si>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</si>
  <si>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</si>
  <si>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</si>
  <si>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</si>
  <si>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</si>
  <si>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</si>
  <si>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</si>
  <si>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</si>
  <si>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</si>
  <si>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</si>
  <si>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</si>
  <si>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</si>
  <si>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</si>
  <si>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</si>
  <si>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</si>
  <si>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</si>
  <si>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</si>
  <si>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</si>
  <si>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</si>
  <si>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</si>
  <si>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</si>
  <si>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</si>
  <si>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</si>
  <si>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</si>
  <si>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</si>
  <si>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</si>
  <si>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</si>
  <si>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</si>
  <si>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</si>
  <si>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</si>
  <si>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</si>
  <si>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</si>
  <si>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</si>
  <si>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</si>
  <si>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</si>
  <si>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</si>
  <si>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</si>
  <si>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</si>
  <si>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</si>
  <si>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</si>
  <si>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</si>
  <si>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</si>
  <si>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</si>
  <si>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</si>
  <si>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</si>
  <si>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</si>
  <si>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</si>
  <si>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</si>
  <si>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</si>
  <si>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</si>
  <si>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</si>
  <si>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</si>
  <si>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</si>
  <si>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</si>
  <si>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</si>
  <si>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</si>
  <si>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</si>
  <si>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</si>
  <si>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</si>
  <si>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</si>
  <si>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</si>
  <si>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</si>
  <si>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</si>
  <si>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</si>
  <si>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</si>
  <si>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</si>
  <si>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</si>
  <si>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</si>
  <si>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</si>
  <si>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</si>
  <si>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</si>
  <si>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</si>
  <si>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</si>
  <si>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</si>
  <si>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</si>
  <si>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</si>
  <si>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</si>
  <si>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</si>
  <si>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</si>
  <si>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</si>
  <si>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amp-bf16-cpu</t>
  </si>
  <si>
    <t xml:space="preserve">amp</t>
  </si>
  <si>
    <t xml:space="preserve">CPU BF16 autocast vs FP32 baseline</t>
  </si>
  <si>
    <t xml:space="preserve">ce</t>
  </si>
  <si>
    <t xml:space="preserve">sgd_momentum</t>
  </si>
  <si>
    <t xml:space="preserve">256-128</t>
  </si>
  <si>
    <t xml:space="preserve">none</t>
  </si>
  <si>
    <t xml:space="preserve">bf16</t>
  </si>
  <si>
    <t xml:space="preserve">he</t>
  </si>
  <si>
    <t xml:space="preserve">figures/amp-bf16-cpu.png</t>
  </si>
  <si>
    <t xml:space="preserve">CPU BF16 only: similar quality, ~12x slower; FP16 unavailable because CUDA is absent in this process.</t>
  </si>
  <si>
    <t xml:space="preserve">base-s1</t>
  </si>
  <si>
    <t xml:space="preserve">baseline</t>
  </si>
  <si>
    <t xml:space="preserve">Baseline M-base, lr=0.1, seed=1</t>
  </si>
  <si>
    <t xml:space="preserve">fp32</t>
  </si>
  <si>
    <t xml:space="preserve">figures/base-s1.png</t>
  </si>
  <si>
    <t xml:space="preserve">Baseline repeat used to estimate seed noise (sample std and 2σ).</t>
  </si>
  <si>
    <t xml:space="preserve">base-s2</t>
  </si>
  <si>
    <t xml:space="preserve">Baseline M-base, lr=0.1, seed=2</t>
  </si>
  <si>
    <t xml:space="preserve">figures/base-s2.png</t>
  </si>
  <si>
    <t xml:space="preserve">base-s3</t>
  </si>
  <si>
    <t xml:space="preserve">Baseline M-base, lr=0.1, seed=3</t>
  </si>
  <si>
    <t xml:space="preserve">figures/base-s3.png</t>
  </si>
  <si>
    <t xml:space="preserve">batch-128</t>
  </si>
  <si>
    <t xml:space="preserve">hparam</t>
  </si>
  <si>
    <t xml:space="preserve">Batch 128 vs baseline 512, same lr</t>
  </si>
  <si>
    <t xml:space="preserve">figures/batch-128.png</t>
  </si>
  <si>
    <t xml:space="preserve">4x updates/epoch vs batch 512; F1 within baseline noise, but slower per epoch.</t>
  </si>
  <si>
    <t xml:space="preserve">batch-2048</t>
  </si>
  <si>
    <t xml:space="preserve">Batch 2048 vs baseline 512, same lr</t>
  </si>
  <si>
    <t xml:space="preserve">figures/batch-2048.png</t>
  </si>
  <si>
    <t xml:space="preserve">1/4 updates/epoch vs batch 512 at same lr; faster per epoch but materially lower F1.</t>
  </si>
  <si>
    <t xml:space="preserve">clip-0p5</t>
  </si>
  <si>
    <t xml:space="preserve">clipping</t>
  </si>
  <si>
    <t xml:space="preserve">Baseline with global gradient clip c=0.5</t>
  </si>
  <si>
    <t xml:space="preserve">figures/clip-0p5.png</t>
  </si>
  <si>
    <t xml:space="preserve">Pre-clip grad norm mostly &gt;0.5, so clipping was active; no improvement over stable baseline.</t>
  </si>
  <si>
    <t xml:space="preserve">drop-0p3</t>
  </si>
  <si>
    <t xml:space="preserve">Dropout q=0.3 vs baseline q=0</t>
  </si>
  <si>
    <t xml:space="preserve">figures/drop-0p3.png</t>
  </si>
  <si>
    <t xml:space="preserve">Baseline was not overfitting; dropout slowed optimization and reduced F1.</t>
  </si>
  <si>
    <t xml:space="preserve">final-adam-s2</t>
  </si>
  <si>
    <t xml:space="preserve">final</t>
  </si>
  <si>
    <t xml:space="preserve">Final candidate Adam lr=0.003, seed=2</t>
  </si>
  <si>
    <t xml:space="preserve">adam</t>
  </si>
  <si>
    <t xml:space="preserve">figures/final-adam-s2.png</t>
  </si>
  <si>
    <t xml:space="preserve">Final Adam candidate repeat; improvement over matching baseline seed persisted.</t>
  </si>
  <si>
    <t xml:space="preserve">final-adam-s3</t>
  </si>
  <si>
    <t xml:space="preserve">Final candidate Adam lr=0.003, seed=3</t>
  </si>
  <si>
    <t xml:space="preserve">figures/final-adam-s3.png</t>
  </si>
  <si>
    <t xml:space="preserve">highlr-1-clip-0p5</t>
  </si>
  <si>
    <t xml:space="preserve">Counterexample high lr=1.0 with clip c=0.5</t>
  </si>
  <si>
    <t xml:space="preserve">figures/highlr-1-clip-0p5.png</t>
  </si>
  <si>
    <t xml:space="preserve">Same lr=1.0; clipping improved stability/F1 but did not recover baseline quality.</t>
  </si>
  <si>
    <t xml:space="preserve">highlr-1-no-clip</t>
  </si>
  <si>
    <t xml:space="preserve">Counterexample high lr=1.0 without clipping</t>
  </si>
  <si>
    <t xml:space="preserve">figures/highlr-1-no-clip.png</t>
  </si>
  <si>
    <t xml:space="preserve">Counterexample at lr=1.0: oscillatory and much worse than baseline, but finite.</t>
  </si>
  <si>
    <t xml:space="preserve">init-normal</t>
  </si>
  <si>
    <t xml:space="preserve">normal initialization vs He baseline</t>
  </si>
  <si>
    <t xml:space="preserve">normal</t>
  </si>
  <si>
    <t xml:space="preserve">figures/init-normal.png</t>
  </si>
  <si>
    <t xml:space="preserve">Step-0 activation std=[0.03417,0.00375,0.00027]; variance collapses, but 3-layer net still learns.</t>
  </si>
  <si>
    <t xml:space="preserve">init-xavier</t>
  </si>
  <si>
    <t xml:space="preserve">xavier initialization vs He baseline</t>
  </si>
  <si>
    <t xml:space="preserve">xavier</t>
  </si>
  <si>
    <t xml:space="preserve">figures/init-xavier.png</t>
  </si>
  <si>
    <t xml:space="preserve">Step-0 activation std=[0.27446,0.21742,0.19131]; stable but slightly below He.</t>
  </si>
  <si>
    <t xml:space="preserve">init-zeros</t>
  </si>
  <si>
    <t xml:space="preserve">zeros initialization vs He baseline</t>
  </si>
  <si>
    <t xml:space="preserve">zeros</t>
  </si>
  <si>
    <t xml:space="preserve">figures/init-zeros.png</t>
  </si>
  <si>
    <t xml:space="preserve">Activation std=[0,0,0]; symmetry/ReLU(0) leaves majority-class predictor.</t>
  </si>
  <si>
    <t xml:space="preserve">loss-mse</t>
  </si>
  <si>
    <t xml:space="preserve">MSE one-hot vs baseline CE</t>
  </si>
  <si>
    <t xml:space="preserve">mse</t>
  </si>
  <si>
    <t xml:space="preserve">figures/loss-mse.png</t>
  </si>
  <si>
    <t xml:space="preserve">Prediction matched: one-hot MSE mean over Bx7 converged slower; compare F1/acc, not raw loss.</t>
  </si>
  <si>
    <t xml:space="preserve">lr-sweep-0p01</t>
  </si>
  <si>
    <t xml:space="preserve">Baseline LR search, lr=0.01, 5 epochs</t>
  </si>
  <si>
    <t xml:space="preserve">figures/lr-sweep-0p01.png</t>
  </si>
  <si>
    <t xml:space="preserve">Short 5-epoch validation-only learning-rate search; not selected using eval.</t>
  </si>
  <si>
    <t xml:space="preserve">lr-sweep-0p03</t>
  </si>
  <si>
    <t xml:space="preserve">Baseline LR search, lr=0.03, 5 epochs</t>
  </si>
  <si>
    <t xml:space="preserve">figures/lr-sweep-0p03.png</t>
  </si>
  <si>
    <t xml:space="preserve">lr-sweep-0p1</t>
  </si>
  <si>
    <t xml:space="preserve">Baseline LR search, lr=0.1, 5 epochs</t>
  </si>
  <si>
    <t xml:space="preserve">figures/lr-sweep-0p1.png</t>
  </si>
  <si>
    <t xml:space="preserve">opt-adam-best</t>
  </si>
  <si>
    <t xml:space="preserve">adam, tuned lr=0.003, 20 epochs</t>
  </si>
  <si>
    <t xml:space="preserve">figures/opt-adam-best.png</t>
  </si>
  <si>
    <t xml:space="preserve">Best of lr sweep {3e-4,1e-3,3e-3}; selected final candidate using validation only.</t>
  </si>
  <si>
    <t xml:space="preserve">opt-adam-sweep-0p0003</t>
  </si>
  <si>
    <t xml:space="preserve">adam LR search, 5 epochs, lr=0.0003</t>
  </si>
  <si>
    <t xml:space="preserve">figures/opt-adam-sweep-0p0003.png</t>
  </si>
  <si>
    <t xml:space="preserve">opt-adam-sweep-0p001</t>
  </si>
  <si>
    <t xml:space="preserve">adam LR search, 5 epochs, lr=0.001</t>
  </si>
  <si>
    <t xml:space="preserve">figures/opt-adam-sweep-0p001.png</t>
  </si>
  <si>
    <t xml:space="preserve">opt-adam-sweep-0p003</t>
  </si>
  <si>
    <t xml:space="preserve">adam LR search, 5 epochs, lr=0.003</t>
  </si>
  <si>
    <t xml:space="preserve">figures/opt-adam-sweep-0p003.png</t>
  </si>
  <si>
    <t xml:space="preserve">opt-adamw-best</t>
  </si>
  <si>
    <t xml:space="preserve">adamw, tuned lr=0.003, 20 epochs</t>
  </si>
  <si>
    <t xml:space="preserve">adamw</t>
  </si>
  <si>
    <t xml:space="preserve">figures/opt-adamw-best.png</t>
  </si>
  <si>
    <t xml:space="preserve">Best of lr sweep; AdamW with decoupled weight_decay=0.01 did not beat Adam.</t>
  </si>
  <si>
    <t xml:space="preserve">opt-adamw-sweep-0p0003</t>
  </si>
  <si>
    <t xml:space="preserve">adamw LR search, 5 epochs, lr=0.0003</t>
  </si>
  <si>
    <t xml:space="preserve">figures/opt-adamw-sweep-0p0003.png</t>
  </si>
  <si>
    <t xml:space="preserve">opt-adamw-sweep-0p001</t>
  </si>
  <si>
    <t xml:space="preserve">adamw LR search, 5 epochs, lr=0.001</t>
  </si>
  <si>
    <t xml:space="preserve">figures/opt-adamw-sweep-0p001.png</t>
  </si>
  <si>
    <t xml:space="preserve">opt-adamw-sweep-0p003</t>
  </si>
  <si>
    <t xml:space="preserve">adamw LR search, 5 epochs, lr=0.003</t>
  </si>
  <si>
    <t xml:space="preserve">figures/opt-adamw-sweep-0p003.png</t>
  </si>
  <si>
    <t xml:space="preserve">opt-sgd-best</t>
  </si>
  <si>
    <t xml:space="preserve">sgd, tuned lr=0.3, 20 epochs</t>
  </si>
  <si>
    <t xml:space="preserve">sgd</t>
  </si>
  <si>
    <t xml:space="preserve">figures/opt-sgd-best.png</t>
  </si>
  <si>
    <t xml:space="preserve">Best of 5-epoch lr sweep {0.03,0.1,0.3}; plain SGD oscillated more than momentum.</t>
  </si>
  <si>
    <t xml:space="preserve">opt-sgd-sweep-0p03</t>
  </si>
  <si>
    <t xml:space="preserve">sgd LR search, 5 epochs, lr=0.03</t>
  </si>
  <si>
    <t xml:space="preserve">figures/opt-sgd-sweep-0p03.png</t>
  </si>
  <si>
    <t xml:space="preserve">opt-sgd-sweep-0p1</t>
  </si>
  <si>
    <t xml:space="preserve">sgd LR search, 5 epochs, lr=0.1</t>
  </si>
  <si>
    <t xml:space="preserve">figures/opt-sgd-sweep-0p1.png</t>
  </si>
  <si>
    <t xml:space="preserve">opt-sgd-sweep-0p3</t>
  </si>
  <si>
    <t xml:space="preserve">sgd LR search, 5 epochs, lr=0.3</t>
  </si>
  <si>
    <t xml:space="preserve">figures/opt-sgd-sweep-0p3.png</t>
  </si>
  <si>
    <t xml:space="preserve">exp_id baseline (nhập)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</si>
  <si>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</si>
  <si>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</si>
  <si>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</si>
  <si>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</si>
  <si>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</si>
  <si>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</si>
  <si>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</si>
  <si>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</si>
  <si>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</si>
  <si>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</si>
  <si>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</si>
  <si>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</si>
  <si>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</si>
  <si>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3 seeds: F1 mean 0.8565, sample std 0.0030; 2σ=0.0060.</t>
  </si>
  <si>
    <t xml:space="preserve">MSE F1 was far below CE; raw CE/MSE losses are not directly comparable.</t>
  </si>
  <si>
    <t xml:space="preserve">Tuned Adam lr=0.003 was best; mean F1 over 3 seeds about 0.8750.</t>
  </si>
  <si>
    <t xml:space="preserve">Small batch used more updates but cost more time; large batch underfit at fixed lr/epochs.</t>
  </si>
  <si>
    <t xml:space="preserve">q=0.3 hurt because baseline did not show strong overfitting.</t>
  </si>
  <si>
    <t xml:space="preserve">Active clipping did not help baseline; it mitigated, but did not fix, lr=1.0.</t>
  </si>
  <si>
    <t xml:space="preserve">BF16 on this CPU was much slower; FP16 CUDA was unavailable.</t>
  </si>
  <si>
    <t xml:space="preserve">Zeros failed by symmetry; He best preserved activation variance for ReLU.</t>
  </si>
  <si>
    <t xml:space="preserve">Adam lr=0.003 selected by validation; improvement persisted over 3 seeds.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</si>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</sst>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12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3" t="s">
        <v>4</v>
      </c>
    </row>
    <row r="6" customFormat="false" ht="15" hidden="false" customHeight="true" outlineLevel="0" collapsed="false">
      <c r="A6" s="6" t="s">
        <v>5</v>
      </c>
      <c r="B6" s="3" t="s">
        <v>6</v>
      </c>
    </row>
    <row r="7" customFormat="false" ht="15" hidden="false" customHeight="true" outlineLevel="0" collapsed="false">
      <c r="A7" s="7" t="s">
        <v>3</v>
      </c>
      <c r="B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3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3" t="s">
        <v>13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8" t="s">
        <v>15</v>
      </c>
      <c r="B17" s="8" t="s">
        <v>16</v>
      </c>
      <c r="C17" s="8" t="s">
        <v>17</v>
      </c>
    </row>
    <row r="18" customFormat="false" ht="15" hidden="false" customHeight="true" outlineLevel="0" collapsed="false">
      <c r="A18" s="9" t="s">
        <v>18</v>
      </c>
      <c r="B18" s="10" t="s">
        <v>19</v>
      </c>
      <c r="C18" s="10" t="s">
        <v>20</v>
      </c>
    </row>
    <row r="19" customFormat="false" ht="23.25" hidden="false" customHeight="true" outlineLevel="0" collapsed="false">
      <c r="A19" s="9" t="s">
        <v>21</v>
      </c>
      <c r="B19" s="10" t="s">
        <v>22</v>
      </c>
      <c r="C19" s="10" t="s">
        <v>23</v>
      </c>
    </row>
    <row r="20" customFormat="false" ht="15" hidden="false" customHeight="true" outlineLevel="0" collapsed="false">
      <c r="A20" s="9" t="s">
        <v>24</v>
      </c>
      <c r="B20" s="10" t="s">
        <v>25</v>
      </c>
      <c r="C20" s="10" t="s">
        <v>26</v>
      </c>
    </row>
    <row r="21" customFormat="false" ht="15" hidden="false" customHeight="true" outlineLevel="0" collapsed="false">
      <c r="A21" s="9" t="s">
        <v>27</v>
      </c>
      <c r="B21" s="10" t="s">
        <v>28</v>
      </c>
      <c r="C21" s="10" t="s">
        <v>23</v>
      </c>
    </row>
    <row r="22" customFormat="false" ht="15" hidden="false" customHeight="true" outlineLevel="0" collapsed="false">
      <c r="A22" s="9" t="s">
        <v>29</v>
      </c>
      <c r="B22" s="10" t="s">
        <v>30</v>
      </c>
      <c r="C22" s="10" t="s">
        <v>23</v>
      </c>
    </row>
    <row r="23" customFormat="false" ht="15" hidden="false" customHeight="true" outlineLevel="0" collapsed="false">
      <c r="A23" s="9" t="s">
        <v>31</v>
      </c>
      <c r="B23" s="10" t="s">
        <v>32</v>
      </c>
      <c r="C23" s="10" t="s">
        <v>33</v>
      </c>
    </row>
    <row r="24" customFormat="false" ht="15" hidden="false" customHeight="true" outlineLevel="0" collapsed="false">
      <c r="A24" s="9" t="s">
        <v>34</v>
      </c>
      <c r="B24" s="10" t="s">
        <v>35</v>
      </c>
      <c r="C24" s="10" t="s">
        <v>36</v>
      </c>
    </row>
    <row r="25" customFormat="false" ht="15" hidden="false" customHeight="true" outlineLevel="0" collapsed="false">
      <c r="A25" s="9" t="s">
        <v>37</v>
      </c>
      <c r="B25" s="10" t="s">
        <v>38</v>
      </c>
      <c r="C25" s="10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  <c r="C26" s="10" t="s">
        <v>42</v>
      </c>
    </row>
    <row r="27" customFormat="false" ht="15" hidden="false" customHeight="true" outlineLevel="0" collapsed="false">
      <c r="A27" s="9" t="s">
        <v>43</v>
      </c>
      <c r="B27" s="10" t="s">
        <v>44</v>
      </c>
      <c r="C27" s="10" t="s">
        <v>45</v>
      </c>
    </row>
    <row r="28" customFormat="false" ht="15" hidden="false" customHeight="true" outlineLevel="0" collapsed="false">
      <c r="A28" s="9" t="s">
        <v>46</v>
      </c>
      <c r="B28" s="10" t="s">
        <v>47</v>
      </c>
      <c r="C28" s="10" t="s">
        <v>36</v>
      </c>
    </row>
    <row r="29" customFormat="false" ht="15" hidden="false" customHeight="true" outlineLevel="0" collapsed="false">
      <c r="A29" s="9" t="s">
        <v>48</v>
      </c>
      <c r="B29" s="10" t="s">
        <v>49</v>
      </c>
      <c r="C29" s="10" t="s">
        <v>50</v>
      </c>
    </row>
    <row r="30" customFormat="false" ht="15" hidden="false" customHeight="true" outlineLevel="0" collapsed="false">
      <c r="A30" s="9" t="s">
        <v>51</v>
      </c>
      <c r="B30" s="10" t="s">
        <v>52</v>
      </c>
      <c r="C30" s="10" t="s">
        <v>23</v>
      </c>
    </row>
    <row r="31" customFormat="false" ht="15" hidden="false" customHeight="true" outlineLevel="0" collapsed="false">
      <c r="A31" s="9" t="s">
        <v>53</v>
      </c>
      <c r="B31" s="10" t="s">
        <v>54</v>
      </c>
      <c r="C31" s="10" t="s">
        <v>55</v>
      </c>
    </row>
    <row r="32" customFormat="false" ht="15" hidden="false" customHeight="true" outlineLevel="0" collapsed="false">
      <c r="A32" s="9" t="s">
        <v>56</v>
      </c>
      <c r="B32" s="10" t="s">
        <v>57</v>
      </c>
      <c r="C32" s="10" t="s">
        <v>39</v>
      </c>
    </row>
    <row r="33" customFormat="false" ht="15" hidden="false" customHeight="true" outlineLevel="0" collapsed="false">
      <c r="A33" s="9" t="s">
        <v>58</v>
      </c>
      <c r="B33" s="10" t="s">
        <v>59</v>
      </c>
      <c r="C33" s="10" t="s">
        <v>60</v>
      </c>
    </row>
    <row r="34" customFormat="false" ht="15" hidden="false" customHeight="true" outlineLevel="0" collapsed="false">
      <c r="A34" s="9" t="s">
        <v>61</v>
      </c>
      <c r="B34" s="10" t="s">
        <v>62</v>
      </c>
      <c r="C34" s="10"/>
    </row>
    <row r="35" customFormat="false" ht="15" hidden="false" customHeight="true" outlineLevel="0" collapsed="false">
      <c r="A35" s="9" t="s">
        <v>63</v>
      </c>
      <c r="B35" s="10" t="s">
        <v>64</v>
      </c>
      <c r="C35" s="10" t="s">
        <v>65</v>
      </c>
    </row>
    <row r="36" customFormat="false" ht="15" hidden="false" customHeight="true" outlineLevel="0" collapsed="false">
      <c r="A36" s="9" t="s">
        <v>66</v>
      </c>
      <c r="B36" s="10" t="s">
        <v>67</v>
      </c>
      <c r="C36" s="10"/>
    </row>
    <row r="37" customFormat="false" ht="15" hidden="false" customHeight="true" outlineLevel="0" collapsed="false">
      <c r="A37" s="9" t="s">
        <v>68</v>
      </c>
      <c r="B37" s="10" t="s">
        <v>69</v>
      </c>
      <c r="C37" s="10"/>
    </row>
    <row r="38" customFormat="false" ht="15" hidden="false" customHeight="true" outlineLevel="0" collapsed="false">
      <c r="A38" s="9" t="s">
        <v>70</v>
      </c>
      <c r="B38" s="10" t="s">
        <v>71</v>
      </c>
      <c r="C38" s="10" t="s">
        <v>72</v>
      </c>
    </row>
    <row r="39" customFormat="false" ht="15" hidden="false" customHeight="true" outlineLevel="0" collapsed="false">
      <c r="A39" s="9" t="s">
        <v>73</v>
      </c>
      <c r="B39" s="10" t="s">
        <v>74</v>
      </c>
      <c r="C39" s="10" t="s">
        <v>75</v>
      </c>
    </row>
    <row r="40" customFormat="false" ht="15" hidden="false" customHeight="true" outlineLevel="0" collapsed="false">
      <c r="A40" s="9" t="s">
        <v>76</v>
      </c>
      <c r="B40" s="10" t="s">
        <v>77</v>
      </c>
      <c r="C40" s="10" t="s">
        <v>78</v>
      </c>
    </row>
    <row r="41" customFormat="false" ht="15" hidden="false" customHeight="true" outlineLevel="0" collapsed="false">
      <c r="A41" s="9" t="s">
        <v>79</v>
      </c>
      <c r="B41" s="10" t="s">
        <v>80</v>
      </c>
      <c r="C41" s="10" t="s">
        <v>81</v>
      </c>
    </row>
    <row r="42" customFormat="false" ht="15" hidden="false" customHeight="true" outlineLevel="0" collapsed="false">
      <c r="A42" s="9" t="s">
        <v>82</v>
      </c>
      <c r="B42" s="10" t="s">
        <v>83</v>
      </c>
      <c r="C42" s="10" t="s">
        <v>23</v>
      </c>
    </row>
    <row r="43" customFormat="false" ht="23.25" hidden="false" customHeight="true" outlineLevel="0" collapsed="false">
      <c r="A43" s="9" t="s">
        <v>84</v>
      </c>
      <c r="B43" s="10" t="s">
        <v>85</v>
      </c>
      <c r="C43" s="10" t="s">
        <v>86</v>
      </c>
    </row>
    <row r="44" customFormat="false" ht="23.25" hidden="false" customHeight="true" outlineLevel="0" collapsed="false">
      <c r="A44" s="9" t="s">
        <v>87</v>
      </c>
      <c r="B44" s="10" t="s">
        <v>88</v>
      </c>
      <c r="C44" s="10" t="s">
        <v>86</v>
      </c>
    </row>
    <row r="45" customFormat="false" ht="15" hidden="false" customHeight="true" outlineLevel="0" collapsed="false">
      <c r="A45" s="9" t="s">
        <v>89</v>
      </c>
      <c r="B45" s="10" t="s">
        <v>90</v>
      </c>
      <c r="C45" s="10" t="s">
        <v>91</v>
      </c>
    </row>
    <row r="46" customFormat="false" ht="15" hidden="false" customHeight="true" outlineLevel="0" collapsed="false">
      <c r="A46" s="9" t="s">
        <v>92</v>
      </c>
      <c r="B46" s="10" t="s">
        <v>93</v>
      </c>
      <c r="C46" s="10" t="s">
        <v>94</v>
      </c>
    </row>
    <row r="47" customFormat="false" ht="15" hidden="false" customHeight="true" outlineLevel="0" collapsed="false">
      <c r="A47" s="9" t="s">
        <v>95</v>
      </c>
      <c r="B47" s="10" t="s">
        <v>96</v>
      </c>
      <c r="C47" s="10" t="s">
        <v>97</v>
      </c>
    </row>
    <row r="48" customFormat="false" ht="15" hidden="false" customHeight="true" outlineLevel="0" collapsed="false">
      <c r="A48" s="9" t="s">
        <v>98</v>
      </c>
      <c r="B48" s="10" t="s">
        <v>99</v>
      </c>
      <c r="C48" s="10" t="s">
        <v>100</v>
      </c>
    </row>
    <row r="49" customFormat="false" ht="15" hidden="false" customHeight="true" outlineLevel="0" collapsed="false">
      <c r="A49" s="9" t="s">
        <v>101</v>
      </c>
      <c r="B49" s="10" t="s">
        <v>102</v>
      </c>
      <c r="C49" s="10" t="s">
        <v>103</v>
      </c>
    </row>
    <row r="50" customFormat="false" ht="15" hidden="false" customHeight="true" outlineLevel="0" collapsed="false">
      <c r="A50" s="9" t="s">
        <v>104</v>
      </c>
      <c r="B50" s="10" t="s">
        <v>105</v>
      </c>
      <c r="C50" s="10" t="s">
        <v>106</v>
      </c>
    </row>
    <row r="52" customFormat="false" ht="15" hidden="false" customHeight="true" outlineLevel="0" collapsed="false">
      <c r="A52" s="4" t="s">
        <v>107</v>
      </c>
    </row>
    <row r="53" customFormat="false" ht="23.25" hidden="false" customHeight="true" outlineLevel="0" collapsed="false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customFormat="false" ht="15" hidden="false" customHeight="true" outlineLevel="0" collapsed="false">
      <c r="A54" s="12" t="s">
        <v>108</v>
      </c>
      <c r="B54" s="12" t="s">
        <v>29</v>
      </c>
      <c r="C54" s="12" t="s">
        <v>109</v>
      </c>
      <c r="D54" s="12" t="n">
        <v>0.001</v>
      </c>
      <c r="E54" s="12" t="n">
        <v>1.95</v>
      </c>
      <c r="F54" s="12" t="n">
        <v>0.6</v>
      </c>
      <c r="G54" s="12" t="n">
        <v>18</v>
      </c>
      <c r="H54" s="12" t="n">
        <v>0.75</v>
      </c>
      <c r="I54" s="12" t="n">
        <v>0.65</v>
      </c>
      <c r="J54" s="12" t="n">
        <v>2.1</v>
      </c>
      <c r="K54" s="12" t="s">
        <v>110</v>
      </c>
      <c r="L54" s="12" t="s">
        <v>111</v>
      </c>
    </row>
    <row r="56" customFormat="false" ht="15" hidden="false" customHeight="true" outlineLevel="0" collapsed="false">
      <c r="A56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9" min="8" style="1" width="7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20" min="19" style="1" width="10"/>
    <col collapsed="false" customWidth="true" hidden="false" outlineLevel="0" max="22" min="21" style="1" width="9"/>
    <col collapsed="false" customWidth="true" hidden="false" outlineLevel="0" max="23" min="23" style="1" width="10"/>
    <col collapsed="false" customWidth="true" hidden="false" outlineLevel="0" max="27" min="24" style="1" width="9"/>
    <col collapsed="false" customWidth="true" hidden="false" outlineLevel="0" max="28" min="28" style="1" width="22"/>
    <col collapsed="false" customWidth="true" hidden="false" outlineLevel="0" max="29" min="29" style="1" width="36"/>
    <col collapsed="false" customWidth="true" hidden="false" outlineLevel="0" max="32" min="30" style="1" width="10"/>
    <col collapsed="false" customWidth="true" hidden="false" outlineLevel="0" max="33" min="33" style="1" width="9"/>
  </cols>
  <sheetData>
    <row r="1" customFormat="false" ht="42" hidden="false" customHeight="true" outlineLevel="0" collapsed="false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customFormat="false" ht="15" hidden="false" customHeight="true" outlineLevel="0" collapsed="false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  <c r="F2" s="14" t="n">
        <v>0.1</v>
      </c>
      <c r="G2" s="13" t="n">
        <v>0</v>
      </c>
      <c r="H2" s="13" t="n">
        <v>512</v>
      </c>
      <c r="I2" s="13" t="n">
        <v>20</v>
      </c>
      <c r="J2" s="13" t="s">
        <v>118</v>
      </c>
      <c r="K2" s="13" t="n">
        <v>0</v>
      </c>
      <c r="L2" s="13" t="s">
        <v>119</v>
      </c>
      <c r="M2" s="13" t="s">
        <v>120</v>
      </c>
      <c r="N2" s="13" t="s">
        <v>121</v>
      </c>
      <c r="O2" s="13" t="n">
        <v>1</v>
      </c>
      <c r="P2" s="15" t="n">
        <v>2.26906180940364</v>
      </c>
      <c r="Q2" s="15" t="n">
        <v>0.229899306081971</v>
      </c>
      <c r="R2" s="14" t="n">
        <v>18</v>
      </c>
      <c r="S2" s="15" t="n">
        <v>0.212959446653767</v>
      </c>
      <c r="T2" s="15" t="n">
        <v>0.237241781803528</v>
      </c>
      <c r="U2" s="15" t="n">
        <v>0.907499838643747</v>
      </c>
      <c r="V2" s="15" t="n">
        <v>0.850701460774701</v>
      </c>
      <c r="W2" s="14" t="n">
        <v>28.4581430275</v>
      </c>
      <c r="X2" s="14" t="n">
        <v>0</v>
      </c>
      <c r="Y2" s="16" t="b">
        <f aca="false">FALSE()</f>
        <v>0</v>
      </c>
      <c r="Z2" s="15"/>
      <c r="AA2" s="15"/>
      <c r="AB2" s="14" t="s">
        <v>122</v>
      </c>
      <c r="AC2" s="14" t="s">
        <v>123</v>
      </c>
      <c r="AD2" s="17" t="n">
        <f aca="false">IF(P2="","",P2-LN(7))</f>
        <v>0.323151660348328</v>
      </c>
      <c r="AE2" s="17" t="n">
        <f aca="false">IF(OR(T2="",S2=""),"",T2-S2)</f>
        <v>0.0242823351497606</v>
      </c>
      <c r="AF2" s="17" t="n">
        <f aca="false">IF(OR(V2="",Seeds!$C$8=""),"",V2-Seeds!$C$8)</f>
        <v>-0.00576151169480343</v>
      </c>
      <c r="AG2" s="17" t="str">
        <f aca="false">IF(OR(AF2="",Seeds!$C$10=""),"",IF(ABS(AF2)&gt;Seeds!$C$10,"Có","Không"))</f>
        <v>Không</v>
      </c>
    </row>
    <row r="3" customFormat="false" ht="15" hidden="false" customHeight="true" outlineLevel="0" collapsed="false">
      <c r="A3" s="14" t="s">
        <v>124</v>
      </c>
      <c r="B3" s="14" t="s">
        <v>125</v>
      </c>
      <c r="C3" s="14" t="s">
        <v>126</v>
      </c>
      <c r="D3" s="14" t="s">
        <v>116</v>
      </c>
      <c r="E3" s="14" t="s">
        <v>117</v>
      </c>
      <c r="F3" s="14" t="n">
        <v>0.1</v>
      </c>
      <c r="G3" s="14" t="n">
        <v>0</v>
      </c>
      <c r="H3" s="14" t="n">
        <v>512</v>
      </c>
      <c r="I3" s="14" t="n">
        <v>20</v>
      </c>
      <c r="J3" s="14" t="s">
        <v>118</v>
      </c>
      <c r="K3" s="14" t="n">
        <v>0</v>
      </c>
      <c r="L3" s="14" t="s">
        <v>119</v>
      </c>
      <c r="M3" s="14" t="s">
        <v>127</v>
      </c>
      <c r="N3" s="14" t="s">
        <v>121</v>
      </c>
      <c r="O3" s="14" t="n">
        <v>1</v>
      </c>
      <c r="P3" s="15" t="n">
        <v>2.26906180940364</v>
      </c>
      <c r="Q3" s="15" t="n">
        <v>0.230386783045635</v>
      </c>
      <c r="R3" s="14" t="n">
        <v>20</v>
      </c>
      <c r="S3" s="15" t="n">
        <v>0.205896999353376</v>
      </c>
      <c r="T3" s="15" t="n">
        <v>0.230386783045635</v>
      </c>
      <c r="U3" s="15" t="n">
        <v>0.909565198683333</v>
      </c>
      <c r="V3" s="15" t="n">
        <v>0.859270029274157</v>
      </c>
      <c r="W3" s="14" t="n">
        <v>2.33578045659988</v>
      </c>
      <c r="X3" s="14" t="n">
        <v>0</v>
      </c>
      <c r="Y3" s="16" t="b">
        <f aca="false">FALSE()</f>
        <v>0</v>
      </c>
      <c r="Z3" s="15" t="n">
        <v>0.907997211775944</v>
      </c>
      <c r="AA3" s="15" t="n">
        <v>0.864646503335912</v>
      </c>
      <c r="AB3" s="14" t="s">
        <v>128</v>
      </c>
      <c r="AC3" s="14" t="s">
        <v>129</v>
      </c>
      <c r="AD3" s="17" t="n">
        <f aca="false">IF(P3="","",P3-LN(7))</f>
        <v>0.323151660348328</v>
      </c>
      <c r="AE3" s="17" t="n">
        <f aca="false">IF(OR(T3="",S3=""),"",T3-S3)</f>
        <v>0.0244897836922589</v>
      </c>
      <c r="AF3" s="17" t="n">
        <f aca="false">IF(OR(V3="",Seeds!$C$8=""),"",V3-Seeds!$C$8)</f>
        <v>0.00280705680465232</v>
      </c>
      <c r="AG3" s="17" t="str">
        <f aca="false">IF(OR(AF3="",Seeds!$C$10=""),"",IF(ABS(AF3)&gt;Seeds!$C$10,"Có","Không"))</f>
        <v>Không</v>
      </c>
    </row>
    <row r="4" customFormat="false" ht="15" hidden="false" customHeight="true" outlineLevel="0" collapsed="false">
      <c r="A4" s="14" t="s">
        <v>130</v>
      </c>
      <c r="B4" s="14" t="s">
        <v>125</v>
      </c>
      <c r="C4" s="14" t="s">
        <v>131</v>
      </c>
      <c r="D4" s="14" t="s">
        <v>116</v>
      </c>
      <c r="E4" s="14" t="s">
        <v>117</v>
      </c>
      <c r="F4" s="14" t="n">
        <v>0.1</v>
      </c>
      <c r="G4" s="14" t="n">
        <v>0</v>
      </c>
      <c r="H4" s="14" t="n">
        <v>512</v>
      </c>
      <c r="I4" s="14" t="n">
        <v>20</v>
      </c>
      <c r="J4" s="14" t="s">
        <v>118</v>
      </c>
      <c r="K4" s="14" t="n">
        <v>0</v>
      </c>
      <c r="L4" s="14" t="s">
        <v>119</v>
      </c>
      <c r="M4" s="14" t="s">
        <v>127</v>
      </c>
      <c r="N4" s="14" t="s">
        <v>121</v>
      </c>
      <c r="O4" s="14" t="n">
        <v>2</v>
      </c>
      <c r="P4" s="15" t="n">
        <v>1.97815669662907</v>
      </c>
      <c r="Q4" s="15" t="n">
        <v>0.226554957435565</v>
      </c>
      <c r="R4" s="14" t="n">
        <v>19</v>
      </c>
      <c r="S4" s="15" t="n">
        <v>0.207674107620834</v>
      </c>
      <c r="T4" s="15" t="n">
        <v>0.23068888875104</v>
      </c>
      <c r="U4" s="15" t="n">
        <v>0.910630149953745</v>
      </c>
      <c r="V4" s="15" t="n">
        <v>0.853304749176306</v>
      </c>
      <c r="W4" s="14" t="n">
        <v>3.64567821974997</v>
      </c>
      <c r="X4" s="14" t="n">
        <v>0</v>
      </c>
      <c r="Y4" s="16" t="b">
        <f aca="false">FALSE()</f>
        <v>0</v>
      </c>
      <c r="Z4" s="15"/>
      <c r="AA4" s="15"/>
      <c r="AB4" s="14" t="s">
        <v>132</v>
      </c>
      <c r="AC4" s="14" t="s">
        <v>129</v>
      </c>
      <c r="AD4" s="17" t="n">
        <f aca="false">IF(P4="","",P4-LN(7))</f>
        <v>0.0322465475737528</v>
      </c>
      <c r="AE4" s="17" t="n">
        <f aca="false">IF(OR(T4="",S4=""),"",T4-S4)</f>
        <v>0.0230147811302061</v>
      </c>
      <c r="AF4" s="17" t="n">
        <f aca="false">IF(OR(V4="",Seeds!$C$8=""),"",V4-Seeds!$C$8)</f>
        <v>-0.00315822329319904</v>
      </c>
      <c r="AG4" s="17" t="str">
        <f aca="false">IF(OR(AF4="",Seeds!$C$10=""),"",IF(ABS(AF4)&gt;Seeds!$C$10,"Có","Không"))</f>
        <v>Không</v>
      </c>
    </row>
    <row r="5" customFormat="false" ht="15" hidden="false" customHeight="true" outlineLevel="0" collapsed="false">
      <c r="A5" s="14" t="s">
        <v>133</v>
      </c>
      <c r="B5" s="14" t="s">
        <v>125</v>
      </c>
      <c r="C5" s="14" t="s">
        <v>134</v>
      </c>
      <c r="D5" s="14" t="s">
        <v>116</v>
      </c>
      <c r="E5" s="14" t="s">
        <v>117</v>
      </c>
      <c r="F5" s="14" t="n">
        <v>0.1</v>
      </c>
      <c r="G5" s="14" t="n">
        <v>0</v>
      </c>
      <c r="H5" s="14" t="n">
        <v>512</v>
      </c>
      <c r="I5" s="14" t="n">
        <v>20</v>
      </c>
      <c r="J5" s="14" t="s">
        <v>118</v>
      </c>
      <c r="K5" s="14" t="n">
        <v>0</v>
      </c>
      <c r="L5" s="14" t="s">
        <v>119</v>
      </c>
      <c r="M5" s="14" t="s">
        <v>127</v>
      </c>
      <c r="N5" s="14" t="s">
        <v>121</v>
      </c>
      <c r="O5" s="14" t="n">
        <v>3</v>
      </c>
      <c r="P5" s="15" t="n">
        <v>1.90053996357383</v>
      </c>
      <c r="Q5" s="15" t="n">
        <v>0.233732096179084</v>
      </c>
      <c r="R5" s="14" t="n">
        <v>19</v>
      </c>
      <c r="S5" s="15" t="n">
        <v>0.231662179866127</v>
      </c>
      <c r="T5" s="15" t="n">
        <v>0.256396630394005</v>
      </c>
      <c r="U5" s="15" t="n">
        <v>0.90655321529227</v>
      </c>
      <c r="V5" s="15" t="n">
        <v>0.856814138958052</v>
      </c>
      <c r="W5" s="14" t="n">
        <v>2.58509257075002</v>
      </c>
      <c r="X5" s="14" t="n">
        <v>0</v>
      </c>
      <c r="Y5" s="16" t="b">
        <f aca="false">FALSE()</f>
        <v>0</v>
      </c>
      <c r="Z5" s="15"/>
      <c r="AA5" s="15"/>
      <c r="AB5" s="14" t="s">
        <v>135</v>
      </c>
      <c r="AC5" s="14" t="s">
        <v>129</v>
      </c>
      <c r="AD5" s="17" t="n">
        <f aca="false">IF(P5="","",P5-LN(7))</f>
        <v>-0.0453701854814872</v>
      </c>
      <c r="AE5" s="17" t="n">
        <f aca="false">IF(OR(T5="",S5=""),"",T5-S5)</f>
        <v>0.0247344505278782</v>
      </c>
      <c r="AF5" s="17" t="n">
        <f aca="false">IF(OR(V5="",Seeds!$C$8=""),"",V5-Seeds!$C$8)</f>
        <v>0.000351166488546939</v>
      </c>
      <c r="AG5" s="17" t="str">
        <f aca="false">IF(OR(AF5="",Seeds!$C$10=""),"",IF(ABS(AF5)&gt;Seeds!$C$10,"Có","Không"))</f>
        <v>Không</v>
      </c>
    </row>
    <row r="6" customFormat="false" ht="15" hidden="false" customHeight="true" outlineLevel="0" collapsed="false">
      <c r="A6" s="14" t="s">
        <v>136</v>
      </c>
      <c r="B6" s="14" t="s">
        <v>137</v>
      </c>
      <c r="C6" s="14" t="s">
        <v>138</v>
      </c>
      <c r="D6" s="14" t="s">
        <v>116</v>
      </c>
      <c r="E6" s="14" t="s">
        <v>117</v>
      </c>
      <c r="F6" s="14" t="n">
        <v>0.1</v>
      </c>
      <c r="G6" s="14" t="n">
        <v>0</v>
      </c>
      <c r="H6" s="14" t="n">
        <v>128</v>
      </c>
      <c r="I6" s="14" t="n">
        <v>20</v>
      </c>
      <c r="J6" s="14" t="s">
        <v>118</v>
      </c>
      <c r="K6" s="14" t="n">
        <v>0</v>
      </c>
      <c r="L6" s="14" t="s">
        <v>119</v>
      </c>
      <c r="M6" s="14" t="s">
        <v>127</v>
      </c>
      <c r="N6" s="14" t="s">
        <v>121</v>
      </c>
      <c r="O6" s="14" t="n">
        <v>1</v>
      </c>
      <c r="P6" s="15" t="n">
        <v>2.26906180940364</v>
      </c>
      <c r="Q6" s="15" t="n">
        <v>0.223130541920229</v>
      </c>
      <c r="R6" s="14" t="n">
        <v>18</v>
      </c>
      <c r="S6" s="15" t="n">
        <v>0.206103696901779</v>
      </c>
      <c r="T6" s="15" t="n">
        <v>0.234551232595795</v>
      </c>
      <c r="U6" s="15" t="n">
        <v>0.912835352079344</v>
      </c>
      <c r="V6" s="15" t="n">
        <v>0.856262997119289</v>
      </c>
      <c r="W6" s="14" t="n">
        <v>4.96810519580022</v>
      </c>
      <c r="X6" s="14" t="n">
        <v>0</v>
      </c>
      <c r="Y6" s="16" t="b">
        <f aca="false">FALSE()</f>
        <v>0</v>
      </c>
      <c r="Z6" s="15"/>
      <c r="AA6" s="15"/>
      <c r="AB6" s="14" t="s">
        <v>139</v>
      </c>
      <c r="AC6" s="14" t="s">
        <v>140</v>
      </c>
      <c r="AD6" s="17" t="n">
        <f aca="false">IF(P6="","",P6-LN(7))</f>
        <v>0.323151660348328</v>
      </c>
      <c r="AE6" s="17" t="n">
        <f aca="false">IF(OR(T6="",S6=""),"",T6-S6)</f>
        <v>0.0284475356940159</v>
      </c>
      <c r="AF6" s="17" t="n">
        <f aca="false">IF(OR(V6="",Seeds!$C$8=""),"",V6-Seeds!$C$8)</f>
        <v>-0.000199975350215875</v>
      </c>
      <c r="AG6" s="17" t="str">
        <f aca="false">IF(OR(AF6="",Seeds!$C$10=""),"",IF(ABS(AF6)&gt;Seeds!$C$10,"Có","Không"))</f>
        <v>Không</v>
      </c>
    </row>
    <row r="7" customFormat="false" ht="15" hidden="false" customHeight="true" outlineLevel="0" collapsed="false">
      <c r="A7" s="14" t="s">
        <v>141</v>
      </c>
      <c r="B7" s="14" t="s">
        <v>137</v>
      </c>
      <c r="C7" s="14" t="s">
        <v>142</v>
      </c>
      <c r="D7" s="14" t="s">
        <v>116</v>
      </c>
      <c r="E7" s="14" t="s">
        <v>117</v>
      </c>
      <c r="F7" s="14" t="n">
        <v>0.1</v>
      </c>
      <c r="G7" s="14" t="n">
        <v>0</v>
      </c>
      <c r="H7" s="14" t="n">
        <v>2048</v>
      </c>
      <c r="I7" s="14" t="n">
        <v>20</v>
      </c>
      <c r="J7" s="14" t="s">
        <v>118</v>
      </c>
      <c r="K7" s="14" t="n">
        <v>0</v>
      </c>
      <c r="L7" s="14" t="s">
        <v>119</v>
      </c>
      <c r="M7" s="14" t="s">
        <v>127</v>
      </c>
      <c r="N7" s="14" t="s">
        <v>121</v>
      </c>
      <c r="O7" s="14" t="n">
        <v>1</v>
      </c>
      <c r="P7" s="15" t="n">
        <v>2.26906180940364</v>
      </c>
      <c r="Q7" s="15" t="n">
        <v>0.286077675881257</v>
      </c>
      <c r="R7" s="14" t="n">
        <v>20</v>
      </c>
      <c r="S7" s="15" t="n">
        <v>0.270242144682963</v>
      </c>
      <c r="T7" s="15" t="n">
        <v>0.286077675881257</v>
      </c>
      <c r="U7" s="15" t="n">
        <v>0.882382048578989</v>
      </c>
      <c r="V7" s="15" t="n">
        <v>0.809474776518946</v>
      </c>
      <c r="W7" s="14" t="n">
        <v>1.84519336125004</v>
      </c>
      <c r="X7" s="14" t="n">
        <v>0</v>
      </c>
      <c r="Y7" s="16" t="b">
        <f aca="false">FALSE()</f>
        <v>0</v>
      </c>
      <c r="Z7" s="15"/>
      <c r="AA7" s="15"/>
      <c r="AB7" s="14" t="s">
        <v>143</v>
      </c>
      <c r="AC7" s="14" t="s">
        <v>144</v>
      </c>
      <c r="AD7" s="17" t="n">
        <f aca="false">IF(P7="","",P7-LN(7))</f>
        <v>0.323151660348328</v>
      </c>
      <c r="AE7" s="17" t="n">
        <f aca="false">IF(OR(T7="",S7=""),"",T7-S7)</f>
        <v>0.0158355311982942</v>
      </c>
      <c r="AF7" s="17" t="n">
        <f aca="false">IF(OR(V7="",Seeds!$C$8=""),"",V7-Seeds!$C$8)</f>
        <v>-0.0469881959505589</v>
      </c>
      <c r="AG7" s="17" t="str">
        <f aca="false">IF(OR(AF7="",Seeds!$C$10=""),"",IF(ABS(AF7)&gt;Seeds!$C$10,"Có","Không"))</f>
        <v>Có</v>
      </c>
    </row>
    <row r="8" customFormat="false" ht="15" hidden="false" customHeight="true" outlineLevel="0" collapsed="false">
      <c r="A8" s="14" t="s">
        <v>145</v>
      </c>
      <c r="B8" s="14" t="s">
        <v>146</v>
      </c>
      <c r="C8" s="14" t="s">
        <v>147</v>
      </c>
      <c r="D8" s="14" t="s">
        <v>116</v>
      </c>
      <c r="E8" s="14" t="s">
        <v>117</v>
      </c>
      <c r="F8" s="14" t="n">
        <v>0.1</v>
      </c>
      <c r="G8" s="14" t="n">
        <v>0</v>
      </c>
      <c r="H8" s="14" t="n">
        <v>512</v>
      </c>
      <c r="I8" s="14" t="n">
        <v>20</v>
      </c>
      <c r="J8" s="14" t="s">
        <v>118</v>
      </c>
      <c r="K8" s="14" t="n">
        <v>0</v>
      </c>
      <c r="L8" s="14" t="n">
        <v>0.5</v>
      </c>
      <c r="M8" s="14" t="s">
        <v>127</v>
      </c>
      <c r="N8" s="14" t="s">
        <v>121</v>
      </c>
      <c r="O8" s="14" t="n">
        <v>1</v>
      </c>
      <c r="P8" s="15" t="n">
        <v>2.26906180940364</v>
      </c>
      <c r="Q8" s="15" t="n">
        <v>0.238635323764263</v>
      </c>
      <c r="R8" s="14" t="n">
        <v>18</v>
      </c>
      <c r="S8" s="15" t="n">
        <v>0.234814274146188</v>
      </c>
      <c r="T8" s="15" t="n">
        <v>0.255334933036315</v>
      </c>
      <c r="U8" s="15" t="n">
        <v>0.905111766097976</v>
      </c>
      <c r="V8" s="15" t="n">
        <v>0.851424968773538</v>
      </c>
      <c r="W8" s="14" t="n">
        <v>3.59146950509985</v>
      </c>
      <c r="X8" s="14" t="n">
        <v>0</v>
      </c>
      <c r="Y8" s="16" t="b">
        <f aca="false">FALSE()</f>
        <v>0</v>
      </c>
      <c r="Z8" s="15"/>
      <c r="AA8" s="15"/>
      <c r="AB8" s="14" t="s">
        <v>148</v>
      </c>
      <c r="AC8" s="14" t="s">
        <v>149</v>
      </c>
      <c r="AD8" s="17" t="n">
        <f aca="false">IF(P8="","",P8-LN(7))</f>
        <v>0.323151660348328</v>
      </c>
      <c r="AE8" s="17" t="n">
        <f aca="false">IF(OR(T8="",S8=""),"",T8-S8)</f>
        <v>0.0205206588901267</v>
      </c>
      <c r="AF8" s="17" t="n">
        <f aca="false">IF(OR(V8="",Seeds!$C$8=""),"",V8-Seeds!$C$8)</f>
        <v>-0.00503800369596619</v>
      </c>
      <c r="AG8" s="17" t="str">
        <f aca="false">IF(OR(AF8="",Seeds!$C$10=""),"",IF(ABS(AF8)&gt;Seeds!$C$10,"Có","Không"))</f>
        <v>Không</v>
      </c>
    </row>
    <row r="9" customFormat="false" ht="15" hidden="false" customHeight="true" outlineLevel="0" collapsed="false">
      <c r="A9" s="14" t="s">
        <v>150</v>
      </c>
      <c r="B9" s="14" t="s">
        <v>46</v>
      </c>
      <c r="C9" s="14" t="s">
        <v>151</v>
      </c>
      <c r="D9" s="14" t="s">
        <v>116</v>
      </c>
      <c r="E9" s="14" t="s">
        <v>117</v>
      </c>
      <c r="F9" s="14" t="n">
        <v>0.1</v>
      </c>
      <c r="G9" s="14" t="n">
        <v>0</v>
      </c>
      <c r="H9" s="14" t="n">
        <v>512</v>
      </c>
      <c r="I9" s="14" t="n">
        <v>20</v>
      </c>
      <c r="J9" s="14" t="s">
        <v>118</v>
      </c>
      <c r="K9" s="14" t="n">
        <v>0.3</v>
      </c>
      <c r="L9" s="14" t="s">
        <v>119</v>
      </c>
      <c r="M9" s="14" t="s">
        <v>127</v>
      </c>
      <c r="N9" s="14" t="s">
        <v>121</v>
      </c>
      <c r="O9" s="14" t="n">
        <v>1</v>
      </c>
      <c r="P9" s="15" t="n">
        <v>2.26906180940364</v>
      </c>
      <c r="Q9" s="15" t="n">
        <v>0.321346737380765</v>
      </c>
      <c r="R9" s="14" t="n">
        <v>20</v>
      </c>
      <c r="S9" s="15" t="n">
        <v>0.315347410920341</v>
      </c>
      <c r="T9" s="15" t="n">
        <v>0.321346737380765</v>
      </c>
      <c r="U9" s="15" t="n">
        <v>0.868548439147178</v>
      </c>
      <c r="V9" s="15" t="n">
        <v>0.772995290486075</v>
      </c>
      <c r="W9" s="14" t="n">
        <v>7.58496971104969</v>
      </c>
      <c r="X9" s="14" t="n">
        <v>0</v>
      </c>
      <c r="Y9" s="16" t="b">
        <f aca="false">FALSE()</f>
        <v>0</v>
      </c>
      <c r="Z9" s="15"/>
      <c r="AA9" s="15"/>
      <c r="AB9" s="14" t="s">
        <v>152</v>
      </c>
      <c r="AC9" s="14" t="s">
        <v>153</v>
      </c>
      <c r="AD9" s="17" t="n">
        <f aca="false">IF(P9="","",P9-LN(7))</f>
        <v>0.323151660348328</v>
      </c>
      <c r="AE9" s="17" t="n">
        <f aca="false">IF(OR(T9="",S9=""),"",T9-S9)</f>
        <v>0.00599932646042345</v>
      </c>
      <c r="AF9" s="17" t="n">
        <f aca="false">IF(OR(V9="",Seeds!$C$8=""),"",V9-Seeds!$C$8)</f>
        <v>-0.0834676819834296</v>
      </c>
      <c r="AG9" s="17" t="str">
        <f aca="false">IF(OR(AF9="",Seeds!$C$10=""),"",IF(ABS(AF9)&gt;Seeds!$C$10,"Có","Không"))</f>
        <v>Có</v>
      </c>
    </row>
    <row r="10" customFormat="false" ht="15" hidden="false" customHeight="true" outlineLevel="0" collapsed="false">
      <c r="A10" s="14" t="s">
        <v>154</v>
      </c>
      <c r="B10" s="14" t="s">
        <v>155</v>
      </c>
      <c r="C10" s="14" t="s">
        <v>156</v>
      </c>
      <c r="D10" s="14" t="s">
        <v>116</v>
      </c>
      <c r="E10" s="14" t="s">
        <v>157</v>
      </c>
      <c r="F10" s="14" t="n">
        <v>0.003</v>
      </c>
      <c r="G10" s="14" t="n">
        <v>0</v>
      </c>
      <c r="H10" s="14" t="n">
        <v>512</v>
      </c>
      <c r="I10" s="14" t="n">
        <v>20</v>
      </c>
      <c r="J10" s="14" t="s">
        <v>118</v>
      </c>
      <c r="K10" s="14" t="n">
        <v>0</v>
      </c>
      <c r="L10" s="14" t="s">
        <v>119</v>
      </c>
      <c r="M10" s="14" t="s">
        <v>127</v>
      </c>
      <c r="N10" s="14" t="s">
        <v>121</v>
      </c>
      <c r="O10" s="14" t="n">
        <v>2</v>
      </c>
      <c r="P10" s="15" t="n">
        <v>1.97815669662907</v>
      </c>
      <c r="Q10" s="15" t="n">
        <v>0.212866242977641</v>
      </c>
      <c r="R10" s="14" t="n">
        <v>19</v>
      </c>
      <c r="S10" s="15" t="n">
        <v>0.188089254254459</v>
      </c>
      <c r="T10" s="15" t="n">
        <v>0.21660874881483</v>
      </c>
      <c r="U10" s="15" t="n">
        <v>0.915761278802091</v>
      </c>
      <c r="V10" s="15" t="n">
        <v>0.873485303752404</v>
      </c>
      <c r="W10" s="14" t="n">
        <v>2.40621483879977</v>
      </c>
      <c r="X10" s="14" t="n">
        <v>0</v>
      </c>
      <c r="Y10" s="16" t="b">
        <f aca="false">FALSE()</f>
        <v>0</v>
      </c>
      <c r="Z10" s="15"/>
      <c r="AA10" s="15"/>
      <c r="AB10" s="14" t="s">
        <v>158</v>
      </c>
      <c r="AC10" s="14" t="s">
        <v>159</v>
      </c>
      <c r="AD10" s="17" t="n">
        <f aca="false">IF(P10="","",P10-LN(7))</f>
        <v>0.0322465475737528</v>
      </c>
      <c r="AE10" s="17" t="n">
        <f aca="false">IF(OR(T10="",S10=""),"",T10-S10)</f>
        <v>0.0285194945603709</v>
      </c>
      <c r="AF10" s="17" t="n">
        <f aca="false">IF(OR(V10="",Seeds!$C$8=""),"",V10-Seeds!$C$8)</f>
        <v>0.0170223312828994</v>
      </c>
      <c r="AG10" s="17" t="str">
        <f aca="false">IF(OR(AF10="",Seeds!$C$10=""),"",IF(ABS(AF10)&gt;Seeds!$C$10,"Có","Không"))</f>
        <v>Có</v>
      </c>
    </row>
    <row r="11" customFormat="false" ht="15" hidden="false" customHeight="true" outlineLevel="0" collapsed="false">
      <c r="A11" s="14" t="s">
        <v>160</v>
      </c>
      <c r="B11" s="14" t="s">
        <v>155</v>
      </c>
      <c r="C11" s="14" t="s">
        <v>161</v>
      </c>
      <c r="D11" s="14" t="s">
        <v>116</v>
      </c>
      <c r="E11" s="14" t="s">
        <v>157</v>
      </c>
      <c r="F11" s="14" t="n">
        <v>0.003</v>
      </c>
      <c r="G11" s="14" t="n">
        <v>0</v>
      </c>
      <c r="H11" s="14" t="n">
        <v>512</v>
      </c>
      <c r="I11" s="14" t="n">
        <v>20</v>
      </c>
      <c r="J11" s="14" t="s">
        <v>118</v>
      </c>
      <c r="K11" s="14" t="n">
        <v>0</v>
      </c>
      <c r="L11" s="14" t="s">
        <v>119</v>
      </c>
      <c r="M11" s="14" t="s">
        <v>127</v>
      </c>
      <c r="N11" s="14" t="s">
        <v>121</v>
      </c>
      <c r="O11" s="14" t="n">
        <v>3</v>
      </c>
      <c r="P11" s="15" t="n">
        <v>1.90053996357383</v>
      </c>
      <c r="Q11" s="15" t="n">
        <v>0.212862906338326</v>
      </c>
      <c r="R11" s="14" t="n">
        <v>19</v>
      </c>
      <c r="S11" s="15" t="n">
        <v>0.187139464877198</v>
      </c>
      <c r="T11" s="15" t="n">
        <v>0.214055953174878</v>
      </c>
      <c r="U11" s="15" t="n">
        <v>0.915987177556421</v>
      </c>
      <c r="V11" s="15" t="n">
        <v>0.872256696180673</v>
      </c>
      <c r="W11" s="14" t="n">
        <v>1.628580805</v>
      </c>
      <c r="X11" s="14" t="n">
        <v>0</v>
      </c>
      <c r="Y11" s="16" t="b">
        <f aca="false">FALSE()</f>
        <v>0</v>
      </c>
      <c r="Z11" s="15"/>
      <c r="AA11" s="15"/>
      <c r="AB11" s="14" t="s">
        <v>162</v>
      </c>
      <c r="AC11" s="14" t="s">
        <v>159</v>
      </c>
      <c r="AD11" s="17" t="n">
        <f aca="false">IF(P11="","",P11-LN(7))</f>
        <v>-0.0453701854814872</v>
      </c>
      <c r="AE11" s="17" t="n">
        <f aca="false">IF(OR(T11="",S11=""),"",T11-S11)</f>
        <v>0.0269164882976797</v>
      </c>
      <c r="AF11" s="17" t="n">
        <f aca="false">IF(OR(V11="",Seeds!$C$8=""),"",V11-Seeds!$C$8)</f>
        <v>0.0157937237111682</v>
      </c>
      <c r="AG11" s="17" t="str">
        <f aca="false">IF(OR(AF11="",Seeds!$C$10=""),"",IF(ABS(AF11)&gt;Seeds!$C$10,"Có","Không"))</f>
        <v>Có</v>
      </c>
    </row>
    <row r="12" customFormat="false" ht="15" hidden="false" customHeight="true" outlineLevel="0" collapsed="false">
      <c r="A12" s="14" t="s">
        <v>163</v>
      </c>
      <c r="B12" s="14" t="s">
        <v>146</v>
      </c>
      <c r="C12" s="14" t="s">
        <v>164</v>
      </c>
      <c r="D12" s="14" t="s">
        <v>116</v>
      </c>
      <c r="E12" s="14" t="s">
        <v>117</v>
      </c>
      <c r="F12" s="14" t="n">
        <v>1</v>
      </c>
      <c r="G12" s="14" t="n">
        <v>0</v>
      </c>
      <c r="H12" s="14" t="n">
        <v>512</v>
      </c>
      <c r="I12" s="14" t="n">
        <v>20</v>
      </c>
      <c r="J12" s="14" t="s">
        <v>118</v>
      </c>
      <c r="K12" s="14" t="n">
        <v>0</v>
      </c>
      <c r="L12" s="14" t="n">
        <v>0.5</v>
      </c>
      <c r="M12" s="14" t="s">
        <v>127</v>
      </c>
      <c r="N12" s="14" t="s">
        <v>121</v>
      </c>
      <c r="O12" s="14" t="n">
        <v>1</v>
      </c>
      <c r="P12" s="15" t="n">
        <v>2.26906180940364</v>
      </c>
      <c r="Q12" s="15" t="n">
        <v>0.300918568924878</v>
      </c>
      <c r="R12" s="14" t="n">
        <v>19</v>
      </c>
      <c r="S12" s="15" t="n">
        <v>0.294945504831971</v>
      </c>
      <c r="T12" s="15" t="n">
        <v>0.317452897026515</v>
      </c>
      <c r="U12" s="15" t="n">
        <v>0.885716744476238</v>
      </c>
      <c r="V12" s="15" t="n">
        <v>0.798612534869011</v>
      </c>
      <c r="W12" s="14" t="n">
        <v>4.82219892255025</v>
      </c>
      <c r="X12" s="14" t="n">
        <v>0</v>
      </c>
      <c r="Y12" s="16" t="b">
        <f aca="false">FALSE()</f>
        <v>0</v>
      </c>
      <c r="Z12" s="15"/>
      <c r="AA12" s="15"/>
      <c r="AB12" s="14" t="s">
        <v>165</v>
      </c>
      <c r="AC12" s="14" t="s">
        <v>166</v>
      </c>
      <c r="AD12" s="17" t="n">
        <f aca="false">IF(P12="","",P12-LN(7))</f>
        <v>0.323151660348328</v>
      </c>
      <c r="AE12" s="17" t="n">
        <f aca="false">IF(OR(T12="",S12=""),"",T12-S12)</f>
        <v>0.0225073921945442</v>
      </c>
      <c r="AF12" s="17" t="n">
        <f aca="false">IF(OR(V12="",Seeds!$C$8=""),"",V12-Seeds!$C$8)</f>
        <v>-0.0578504376004935</v>
      </c>
      <c r="AG12" s="17" t="str">
        <f aca="false">IF(OR(AF12="",Seeds!$C$10=""),"",IF(ABS(AF12)&gt;Seeds!$C$10,"Có","Không"))</f>
        <v>Có</v>
      </c>
    </row>
    <row r="13" customFormat="false" ht="15" hidden="false" customHeight="true" outlineLevel="0" collapsed="false">
      <c r="A13" s="14" t="s">
        <v>167</v>
      </c>
      <c r="B13" s="14" t="s">
        <v>146</v>
      </c>
      <c r="C13" s="14" t="s">
        <v>168</v>
      </c>
      <c r="D13" s="14" t="s">
        <v>116</v>
      </c>
      <c r="E13" s="14" t="s">
        <v>117</v>
      </c>
      <c r="F13" s="14" t="n">
        <v>1</v>
      </c>
      <c r="G13" s="14" t="n">
        <v>0</v>
      </c>
      <c r="H13" s="14" t="n">
        <v>512</v>
      </c>
      <c r="I13" s="14" t="n">
        <v>20</v>
      </c>
      <c r="J13" s="14" t="s">
        <v>118</v>
      </c>
      <c r="K13" s="14" t="n">
        <v>0</v>
      </c>
      <c r="L13" s="14" t="s">
        <v>119</v>
      </c>
      <c r="M13" s="14" t="s">
        <v>127</v>
      </c>
      <c r="N13" s="14" t="s">
        <v>121</v>
      </c>
      <c r="O13" s="14" t="n">
        <v>1</v>
      </c>
      <c r="P13" s="15" t="n">
        <v>2.26906180940364</v>
      </c>
      <c r="Q13" s="15" t="n">
        <v>0.386980521894615</v>
      </c>
      <c r="R13" s="14" t="n">
        <v>16</v>
      </c>
      <c r="S13" s="15" t="n">
        <v>0.416843362612639</v>
      </c>
      <c r="T13" s="15" t="n">
        <v>0.429594682073976</v>
      </c>
      <c r="U13" s="15" t="n">
        <v>0.84564660829156</v>
      </c>
      <c r="V13" s="15" t="n">
        <v>0.625540164326342</v>
      </c>
      <c r="W13" s="14" t="n">
        <v>3.31389459640004</v>
      </c>
      <c r="X13" s="14" t="n">
        <v>0</v>
      </c>
      <c r="Y13" s="16" t="b">
        <f aca="false">FALSE()</f>
        <v>0</v>
      </c>
      <c r="Z13" s="15"/>
      <c r="AA13" s="15"/>
      <c r="AB13" s="14" t="s">
        <v>169</v>
      </c>
      <c r="AC13" s="14" t="s">
        <v>170</v>
      </c>
      <c r="AD13" s="17" t="n">
        <f aca="false">IF(P13="","",P13-LN(7))</f>
        <v>0.323151660348328</v>
      </c>
      <c r="AE13" s="17" t="n">
        <f aca="false">IF(OR(T13="",S13=""),"",T13-S13)</f>
        <v>0.0127513194613371</v>
      </c>
      <c r="AF13" s="17" t="n">
        <f aca="false">IF(OR(V13="",Seeds!$C$8=""),"",V13-Seeds!$C$8)</f>
        <v>-0.230922808143163</v>
      </c>
      <c r="AG13" s="17" t="str">
        <f aca="false">IF(OR(AF13="",Seeds!$C$10=""),"",IF(ABS(AF13)&gt;Seeds!$C$10,"Có","Không"))</f>
        <v>Có</v>
      </c>
    </row>
    <row r="14" customFormat="false" ht="15" hidden="false" customHeight="true" outlineLevel="0" collapsed="false">
      <c r="A14" s="14" t="s">
        <v>171</v>
      </c>
      <c r="B14" s="14" t="s">
        <v>53</v>
      </c>
      <c r="C14" s="14" t="s">
        <v>172</v>
      </c>
      <c r="D14" s="14" t="s">
        <v>116</v>
      </c>
      <c r="E14" s="14" t="s">
        <v>117</v>
      </c>
      <c r="F14" s="14" t="n">
        <v>0.1</v>
      </c>
      <c r="G14" s="14" t="n">
        <v>0</v>
      </c>
      <c r="H14" s="14" t="n">
        <v>512</v>
      </c>
      <c r="I14" s="14" t="n">
        <v>20</v>
      </c>
      <c r="J14" s="14" t="s">
        <v>118</v>
      </c>
      <c r="K14" s="14" t="n">
        <v>0</v>
      </c>
      <c r="L14" s="14" t="s">
        <v>119</v>
      </c>
      <c r="M14" s="14" t="s">
        <v>127</v>
      </c>
      <c r="N14" s="14" t="s">
        <v>173</v>
      </c>
      <c r="O14" s="14" t="n">
        <v>1</v>
      </c>
      <c r="P14" s="15" t="n">
        <v>1.94599564833951</v>
      </c>
      <c r="Q14" s="15" t="n">
        <v>0.247109432987404</v>
      </c>
      <c r="R14" s="14" t="n">
        <v>17</v>
      </c>
      <c r="S14" s="15" t="n">
        <v>0.237175702604373</v>
      </c>
      <c r="T14" s="15" t="n">
        <v>0.257722289931387</v>
      </c>
      <c r="U14" s="15" t="n">
        <v>0.898388588885781</v>
      </c>
      <c r="V14" s="15" t="n">
        <v>0.842334643899455</v>
      </c>
      <c r="W14" s="14" t="n">
        <v>2.83244626200012</v>
      </c>
      <c r="X14" s="14" t="n">
        <v>0</v>
      </c>
      <c r="Y14" s="16" t="b">
        <f aca="false">FALSE()</f>
        <v>0</v>
      </c>
      <c r="Z14" s="15"/>
      <c r="AA14" s="15"/>
      <c r="AB14" s="14" t="s">
        <v>174</v>
      </c>
      <c r="AC14" s="14" t="s">
        <v>175</v>
      </c>
      <c r="AD14" s="17" t="n">
        <f aca="false">IF(P14="","",P14-LN(7))</f>
        <v>8.54992841967661E-005</v>
      </c>
      <c r="AE14" s="17" t="n">
        <f aca="false">IF(OR(T14="",S14=""),"",T14-S14)</f>
        <v>0.020546587327014</v>
      </c>
      <c r="AF14" s="17" t="n">
        <f aca="false">IF(OR(V14="",Seeds!$C$8=""),"",V14-Seeds!$C$8)</f>
        <v>-0.0141283285700499</v>
      </c>
      <c r="AG14" s="17" t="str">
        <f aca="false">IF(OR(AF14="",Seeds!$C$10=""),"",IF(ABS(AF14)&gt;Seeds!$C$10,"Có","Không"))</f>
        <v>Có</v>
      </c>
    </row>
    <row r="15" customFormat="false" ht="15" hidden="false" customHeight="true" outlineLevel="0" collapsed="false">
      <c r="A15" s="14" t="s">
        <v>176</v>
      </c>
      <c r="B15" s="14" t="s">
        <v>53</v>
      </c>
      <c r="C15" s="14" t="s">
        <v>177</v>
      </c>
      <c r="D15" s="14" t="s">
        <v>116</v>
      </c>
      <c r="E15" s="14" t="s">
        <v>117</v>
      </c>
      <c r="F15" s="14" t="n">
        <v>0.1</v>
      </c>
      <c r="G15" s="14" t="n">
        <v>0</v>
      </c>
      <c r="H15" s="14" t="n">
        <v>512</v>
      </c>
      <c r="I15" s="14" t="n">
        <v>20</v>
      </c>
      <c r="J15" s="14" t="s">
        <v>118</v>
      </c>
      <c r="K15" s="14" t="n">
        <v>0</v>
      </c>
      <c r="L15" s="14" t="s">
        <v>119</v>
      </c>
      <c r="M15" s="14" t="s">
        <v>127</v>
      </c>
      <c r="N15" s="14" t="s">
        <v>178</v>
      </c>
      <c r="O15" s="14" t="n">
        <v>1</v>
      </c>
      <c r="P15" s="15" t="n">
        <v>2.02217622670251</v>
      </c>
      <c r="Q15" s="15" t="n">
        <v>0.234854341525301</v>
      </c>
      <c r="R15" s="14" t="n">
        <v>17</v>
      </c>
      <c r="S15" s="15" t="n">
        <v>0.213646491064054</v>
      </c>
      <c r="T15" s="15" t="n">
        <v>0.237316365081045</v>
      </c>
      <c r="U15" s="15" t="n">
        <v>0.905402207353542</v>
      </c>
      <c r="V15" s="15" t="n">
        <v>0.848025699758843</v>
      </c>
      <c r="W15" s="14" t="n">
        <v>2.83467161925028</v>
      </c>
      <c r="X15" s="14" t="n">
        <v>0</v>
      </c>
      <c r="Y15" s="16" t="b">
        <f aca="false">FALSE()</f>
        <v>0</v>
      </c>
      <c r="Z15" s="15"/>
      <c r="AA15" s="15"/>
      <c r="AB15" s="14" t="s">
        <v>179</v>
      </c>
      <c r="AC15" s="14" t="s">
        <v>180</v>
      </c>
      <c r="AD15" s="17" t="n">
        <f aca="false">IF(P15="","",P15-LN(7))</f>
        <v>0.0762660776471968</v>
      </c>
      <c r="AE15" s="17" t="n">
        <f aca="false">IF(OR(T15="",S15=""),"",T15-S15)</f>
        <v>0.0236698740169904</v>
      </c>
      <c r="AF15" s="17" t="n">
        <f aca="false">IF(OR(V15="",Seeds!$C$8=""),"",V15-Seeds!$C$8)</f>
        <v>-0.0084372727106613</v>
      </c>
      <c r="AG15" s="17" t="str">
        <f aca="false">IF(OR(AF15="",Seeds!$C$10=""),"",IF(ABS(AF15)&gt;Seeds!$C$10,"Có","Không"))</f>
        <v>Có</v>
      </c>
    </row>
    <row r="16" customFormat="false" ht="15" hidden="false" customHeight="true" outlineLevel="0" collapsed="false">
      <c r="A16" s="14" t="s">
        <v>181</v>
      </c>
      <c r="B16" s="14" t="s">
        <v>53</v>
      </c>
      <c r="C16" s="14" t="s">
        <v>182</v>
      </c>
      <c r="D16" s="14" t="s">
        <v>116</v>
      </c>
      <c r="E16" s="14" t="s">
        <v>117</v>
      </c>
      <c r="F16" s="14" t="n">
        <v>0.1</v>
      </c>
      <c r="G16" s="14" t="n">
        <v>0</v>
      </c>
      <c r="H16" s="14" t="n">
        <v>512</v>
      </c>
      <c r="I16" s="14" t="n">
        <v>20</v>
      </c>
      <c r="J16" s="14" t="s">
        <v>118</v>
      </c>
      <c r="K16" s="14" t="n">
        <v>0</v>
      </c>
      <c r="L16" s="14" t="s">
        <v>119</v>
      </c>
      <c r="M16" s="14" t="s">
        <v>127</v>
      </c>
      <c r="N16" s="14" t="s">
        <v>183</v>
      </c>
      <c r="O16" s="14" t="n">
        <v>1</v>
      </c>
      <c r="P16" s="15" t="n">
        <v>1.94590961793361</v>
      </c>
      <c r="Q16" s="15" t="n">
        <v>1.20519956501464</v>
      </c>
      <c r="R16" s="14" t="n">
        <v>14</v>
      </c>
      <c r="S16" s="15" t="n">
        <v>1.20561752354421</v>
      </c>
      <c r="T16" s="15" t="n">
        <v>1.20561874198261</v>
      </c>
      <c r="U16" s="15" t="n">
        <v>0.487597082678944</v>
      </c>
      <c r="V16" s="15" t="n">
        <v>0.0936499901862546</v>
      </c>
      <c r="W16" s="14" t="n">
        <v>2.60515482870014</v>
      </c>
      <c r="X16" s="14" t="n">
        <v>0</v>
      </c>
      <c r="Y16" s="16" t="b">
        <f aca="false">FALSE()</f>
        <v>0</v>
      </c>
      <c r="Z16" s="15"/>
      <c r="AA16" s="15"/>
      <c r="AB16" s="14" t="s">
        <v>184</v>
      </c>
      <c r="AC16" s="14" t="s">
        <v>185</v>
      </c>
      <c r="AD16" s="17" t="n">
        <f aca="false">IF(P16="","",P16-LN(7))</f>
        <v>-5.3112170816938E-007</v>
      </c>
      <c r="AE16" s="17" t="n">
        <f aca="false">IF(OR(T16="",S16=""),"",T16-S16)</f>
        <v>1.21843840106273E-006</v>
      </c>
      <c r="AF16" s="17" t="n">
        <f aca="false">IF(OR(V16="",Seeds!$C$8=""),"",V16-Seeds!$C$8)</f>
        <v>-0.76281298228325</v>
      </c>
      <c r="AG16" s="17" t="str">
        <f aca="false">IF(OR(AF16="",Seeds!$C$10=""),"",IF(ABS(AF16)&gt;Seeds!$C$10,"Có","Không"))</f>
        <v>Có</v>
      </c>
    </row>
    <row r="17" customFormat="false" ht="15" hidden="false" customHeight="true" outlineLevel="0" collapsed="false">
      <c r="A17" s="14" t="s">
        <v>186</v>
      </c>
      <c r="B17" s="14" t="s">
        <v>27</v>
      </c>
      <c r="C17" s="14" t="s">
        <v>187</v>
      </c>
      <c r="D17" s="14" t="s">
        <v>188</v>
      </c>
      <c r="E17" s="14" t="s">
        <v>117</v>
      </c>
      <c r="F17" s="14" t="n">
        <v>0.1</v>
      </c>
      <c r="G17" s="14" t="n">
        <v>0</v>
      </c>
      <c r="H17" s="14" t="n">
        <v>512</v>
      </c>
      <c r="I17" s="14" t="n">
        <v>20</v>
      </c>
      <c r="J17" s="14" t="s">
        <v>118</v>
      </c>
      <c r="K17" s="14" t="n">
        <v>0</v>
      </c>
      <c r="L17" s="14" t="s">
        <v>119</v>
      </c>
      <c r="M17" s="14" t="s">
        <v>127</v>
      </c>
      <c r="N17" s="14" t="s">
        <v>121</v>
      </c>
      <c r="O17" s="14" t="n">
        <v>1</v>
      </c>
      <c r="P17" s="15" t="n">
        <v>0.635850321101345</v>
      </c>
      <c r="Q17" s="15" t="n">
        <v>0.0294975219771959</v>
      </c>
      <c r="R17" s="14" t="n">
        <v>19</v>
      </c>
      <c r="S17" s="15" t="n">
        <v>0.0286067431770643</v>
      </c>
      <c r="T17" s="15" t="n">
        <v>0.0295776321791047</v>
      </c>
      <c r="U17" s="15" t="n">
        <v>0.871872377960887</v>
      </c>
      <c r="V17" s="15" t="n">
        <v>0.737696742992796</v>
      </c>
      <c r="W17" s="14" t="n">
        <v>3.30289647019999</v>
      </c>
      <c r="X17" s="14" t="n">
        <v>0</v>
      </c>
      <c r="Y17" s="16" t="b">
        <f aca="false">FALSE()</f>
        <v>0</v>
      </c>
      <c r="Z17" s="15"/>
      <c r="AA17" s="15"/>
      <c r="AB17" s="14" t="s">
        <v>189</v>
      </c>
      <c r="AC17" s="14" t="s">
        <v>190</v>
      </c>
      <c r="AD17" s="17" t="n">
        <f aca="false">IF(P17="","",P17-LN(7))</f>
        <v>-1.31005982795397</v>
      </c>
      <c r="AE17" s="17" t="n">
        <f aca="false">IF(OR(T17="",S17=""),"",T17-S17)</f>
        <v>0.00097088900204037</v>
      </c>
      <c r="AF17" s="17" t="n">
        <f aca="false">IF(OR(V17="",Seeds!$C$8=""),"",V17-Seeds!$C$8)</f>
        <v>-0.118766229476709</v>
      </c>
      <c r="AG17" s="17" t="str">
        <f aca="false">IF(OR(AF17="",Seeds!$C$10=""),"",IF(ABS(AF17)&gt;Seeds!$C$10,"Có","Không"))</f>
        <v>Có</v>
      </c>
    </row>
    <row r="18" customFormat="false" ht="15" hidden="false" customHeight="true" outlineLevel="0" collapsed="false">
      <c r="A18" s="14" t="s">
        <v>191</v>
      </c>
      <c r="B18" s="14" t="s">
        <v>137</v>
      </c>
      <c r="C18" s="14" t="s">
        <v>192</v>
      </c>
      <c r="D18" s="14" t="s">
        <v>116</v>
      </c>
      <c r="E18" s="14" t="s">
        <v>117</v>
      </c>
      <c r="F18" s="14" t="n">
        <v>0.01</v>
      </c>
      <c r="G18" s="14" t="n">
        <v>0</v>
      </c>
      <c r="H18" s="14" t="n">
        <v>512</v>
      </c>
      <c r="I18" s="14" t="n">
        <v>5</v>
      </c>
      <c r="J18" s="14" t="s">
        <v>118</v>
      </c>
      <c r="K18" s="14" t="n">
        <v>0</v>
      </c>
      <c r="L18" s="14" t="s">
        <v>119</v>
      </c>
      <c r="M18" s="14" t="s">
        <v>127</v>
      </c>
      <c r="N18" s="14" t="s">
        <v>121</v>
      </c>
      <c r="O18" s="14" t="n">
        <v>1</v>
      </c>
      <c r="P18" s="15" t="n">
        <v>2.26906180940364</v>
      </c>
      <c r="Q18" s="15" t="n">
        <v>0.448823168495175</v>
      </c>
      <c r="R18" s="14" t="n">
        <v>5</v>
      </c>
      <c r="S18" s="15" t="n">
        <v>0.44281581877667</v>
      </c>
      <c r="T18" s="15" t="n">
        <v>0.448823168495175</v>
      </c>
      <c r="U18" s="15" t="n">
        <v>0.812170564316603</v>
      </c>
      <c r="V18" s="15" t="n">
        <v>0.626644172240122</v>
      </c>
      <c r="W18" s="14" t="n">
        <v>3.4073300420001</v>
      </c>
      <c r="X18" s="14" t="n">
        <v>0</v>
      </c>
      <c r="Y18" s="16" t="b">
        <f aca="false">FALSE()</f>
        <v>0</v>
      </c>
      <c r="Z18" s="15"/>
      <c r="AA18" s="15"/>
      <c r="AB18" s="14" t="s">
        <v>193</v>
      </c>
      <c r="AC18" s="14" t="s">
        <v>194</v>
      </c>
      <c r="AD18" s="17" t="n">
        <f aca="false">IF(P18="","",P18-LN(7))</f>
        <v>0.323151660348328</v>
      </c>
      <c r="AE18" s="17" t="n">
        <f aca="false">IF(OR(T18="",S18=""),"",T18-S18)</f>
        <v>0.0060073497185047</v>
      </c>
      <c r="AF18" s="17" t="n">
        <f aca="false">IF(OR(V18="",Seeds!$C$8=""),"",V18-Seeds!$C$8)</f>
        <v>-0.229818800229383</v>
      </c>
      <c r="AG18" s="17" t="str">
        <f aca="false">IF(OR(AF18="",Seeds!$C$10=""),"",IF(ABS(AF18)&gt;Seeds!$C$10,"Có","Không"))</f>
        <v>Có</v>
      </c>
    </row>
    <row r="19" customFormat="false" ht="15" hidden="false" customHeight="true" outlineLevel="0" collapsed="false">
      <c r="A19" s="14" t="s">
        <v>195</v>
      </c>
      <c r="B19" s="14" t="s">
        <v>137</v>
      </c>
      <c r="C19" s="14" t="s">
        <v>196</v>
      </c>
      <c r="D19" s="14" t="s">
        <v>116</v>
      </c>
      <c r="E19" s="14" t="s">
        <v>117</v>
      </c>
      <c r="F19" s="14" t="n">
        <v>0.03</v>
      </c>
      <c r="G19" s="14" t="n">
        <v>0</v>
      </c>
      <c r="H19" s="14" t="n">
        <v>512</v>
      </c>
      <c r="I19" s="14" t="n">
        <v>5</v>
      </c>
      <c r="J19" s="14" t="s">
        <v>118</v>
      </c>
      <c r="K19" s="14" t="n">
        <v>0</v>
      </c>
      <c r="L19" s="14" t="s">
        <v>119</v>
      </c>
      <c r="M19" s="14" t="s">
        <v>127</v>
      </c>
      <c r="N19" s="14" t="s">
        <v>121</v>
      </c>
      <c r="O19" s="14" t="n">
        <v>1</v>
      </c>
      <c r="P19" s="15" t="n">
        <v>2.26906180940364</v>
      </c>
      <c r="Q19" s="15" t="n">
        <v>0.392716942851985</v>
      </c>
      <c r="R19" s="14" t="n">
        <v>5</v>
      </c>
      <c r="S19" s="15" t="n">
        <v>0.385924115588871</v>
      </c>
      <c r="T19" s="15" t="n">
        <v>0.392716942851985</v>
      </c>
      <c r="U19" s="15" t="n">
        <v>0.835169208924077</v>
      </c>
      <c r="V19" s="15" t="n">
        <v>0.690722484362357</v>
      </c>
      <c r="W19" s="14" t="n">
        <v>3.53007921440039</v>
      </c>
      <c r="X19" s="14" t="n">
        <v>0</v>
      </c>
      <c r="Y19" s="16" t="b">
        <f aca="false">FALSE()</f>
        <v>0</v>
      </c>
      <c r="Z19" s="15"/>
      <c r="AA19" s="15"/>
      <c r="AB19" s="14" t="s">
        <v>197</v>
      </c>
      <c r="AC19" s="14" t="s">
        <v>194</v>
      </c>
      <c r="AD19" s="17" t="n">
        <f aca="false">IF(P19="","",P19-LN(7))</f>
        <v>0.323151660348328</v>
      </c>
      <c r="AE19" s="17" t="n">
        <f aca="false">IF(OR(T19="",S19=""),"",T19-S19)</f>
        <v>0.00679282726311403</v>
      </c>
      <c r="AF19" s="17" t="n">
        <f aca="false">IF(OR(V19="",Seeds!$C$8=""),"",V19-Seeds!$C$8)</f>
        <v>-0.165740488107147</v>
      </c>
      <c r="AG19" s="17" t="str">
        <f aca="false">IF(OR(AF19="",Seeds!$C$10=""),"",IF(ABS(AF19)&gt;Seeds!$C$10,"Có","Không"))</f>
        <v>Có</v>
      </c>
    </row>
    <row r="20" customFormat="false" ht="15" hidden="false" customHeight="true" outlineLevel="0" collapsed="false">
      <c r="A20" s="14" t="s">
        <v>198</v>
      </c>
      <c r="B20" s="14" t="s">
        <v>137</v>
      </c>
      <c r="C20" s="14" t="s">
        <v>199</v>
      </c>
      <c r="D20" s="14" t="s">
        <v>116</v>
      </c>
      <c r="E20" s="14" t="s">
        <v>117</v>
      </c>
      <c r="F20" s="14" t="n">
        <v>0.1</v>
      </c>
      <c r="G20" s="14" t="n">
        <v>0</v>
      </c>
      <c r="H20" s="14" t="n">
        <v>512</v>
      </c>
      <c r="I20" s="14" t="n">
        <v>5</v>
      </c>
      <c r="J20" s="14" t="s">
        <v>118</v>
      </c>
      <c r="K20" s="14" t="n">
        <v>0</v>
      </c>
      <c r="L20" s="14" t="s">
        <v>119</v>
      </c>
      <c r="M20" s="14" t="s">
        <v>127</v>
      </c>
      <c r="N20" s="14" t="s">
        <v>121</v>
      </c>
      <c r="O20" s="14" t="n">
        <v>1</v>
      </c>
      <c r="P20" s="15" t="n">
        <v>2.26906180940364</v>
      </c>
      <c r="Q20" s="15" t="n">
        <v>0.341207576042706</v>
      </c>
      <c r="R20" s="14" t="n">
        <v>4</v>
      </c>
      <c r="S20" s="15" t="n">
        <v>0.342792483708227</v>
      </c>
      <c r="T20" s="15" t="n">
        <v>0.351424274365383</v>
      </c>
      <c r="U20" s="15" t="n">
        <v>0.857866655192444</v>
      </c>
      <c r="V20" s="15" t="n">
        <v>0.765382357948381</v>
      </c>
      <c r="W20" s="14" t="n">
        <v>2.37452585560022</v>
      </c>
      <c r="X20" s="14" t="n">
        <v>0</v>
      </c>
      <c r="Y20" s="16" t="b">
        <f aca="false">FALSE()</f>
        <v>0</v>
      </c>
      <c r="Z20" s="15"/>
      <c r="AA20" s="15"/>
      <c r="AB20" s="14" t="s">
        <v>200</v>
      </c>
      <c r="AC20" s="14" t="s">
        <v>194</v>
      </c>
      <c r="AD20" s="17" t="n">
        <f aca="false">IF(P20="","",P20-LN(7))</f>
        <v>0.323151660348328</v>
      </c>
      <c r="AE20" s="17" t="n">
        <f aca="false">IF(OR(T20="",S20=""),"",T20-S20)</f>
        <v>0.00863179065715536</v>
      </c>
      <c r="AF20" s="17" t="n">
        <f aca="false">IF(OR(V20="",Seeds!$C$8=""),"",V20-Seeds!$C$8)</f>
        <v>-0.0910806145211238</v>
      </c>
      <c r="AG20" s="17" t="str">
        <f aca="false">IF(OR(AF20="",Seeds!$C$10=""),"",IF(ABS(AF20)&gt;Seeds!$C$10,"Có","Không"))</f>
        <v>Có</v>
      </c>
    </row>
    <row r="21" customFormat="false" ht="15" hidden="false" customHeight="true" outlineLevel="0" collapsed="false">
      <c r="A21" s="14" t="s">
        <v>201</v>
      </c>
      <c r="B21" s="14" t="s">
        <v>29</v>
      </c>
      <c r="C21" s="14" t="s">
        <v>202</v>
      </c>
      <c r="D21" s="14" t="s">
        <v>116</v>
      </c>
      <c r="E21" s="14" t="s">
        <v>157</v>
      </c>
      <c r="F21" s="14" t="n">
        <v>0.003</v>
      </c>
      <c r="G21" s="14" t="n">
        <v>0</v>
      </c>
      <c r="H21" s="14" t="n">
        <v>512</v>
      </c>
      <c r="I21" s="14" t="n">
        <v>20</v>
      </c>
      <c r="J21" s="14" t="s">
        <v>118</v>
      </c>
      <c r="K21" s="14" t="n">
        <v>0</v>
      </c>
      <c r="L21" s="14" t="s">
        <v>119</v>
      </c>
      <c r="M21" s="14" t="s">
        <v>127</v>
      </c>
      <c r="N21" s="14" t="s">
        <v>121</v>
      </c>
      <c r="O21" s="14" t="n">
        <v>1</v>
      </c>
      <c r="P21" s="15" t="n">
        <v>2.26906180940364</v>
      </c>
      <c r="Q21" s="15" t="n">
        <v>0.206631444186368</v>
      </c>
      <c r="R21" s="14" t="n">
        <v>20</v>
      </c>
      <c r="S21" s="15" t="n">
        <v>0.179124482128812</v>
      </c>
      <c r="T21" s="15" t="n">
        <v>0.206631444186368</v>
      </c>
      <c r="U21" s="15" t="n">
        <v>0.917794367591059</v>
      </c>
      <c r="V21" s="15" t="n">
        <v>0.879380496253194</v>
      </c>
      <c r="W21" s="14" t="n">
        <v>3.21474260675004</v>
      </c>
      <c r="X21" s="14" t="n">
        <v>0</v>
      </c>
      <c r="Y21" s="16" t="b">
        <f aca="false">FALSE()</f>
        <v>0</v>
      </c>
      <c r="Z21" s="15" t="n">
        <v>0.916336067055067</v>
      </c>
      <c r="AA21" s="15" t="n">
        <v>0.878896830675513</v>
      </c>
      <c r="AB21" s="14" t="s">
        <v>203</v>
      </c>
      <c r="AC21" s="14" t="s">
        <v>204</v>
      </c>
      <c r="AD21" s="17" t="n">
        <f aca="false">IF(P21="","",P21-LN(7))</f>
        <v>0.323151660348328</v>
      </c>
      <c r="AE21" s="17" t="n">
        <f aca="false">IF(OR(T21="",S21=""),"",T21-S21)</f>
        <v>0.0275069620575558</v>
      </c>
      <c r="AF21" s="17" t="n">
        <f aca="false">IF(OR(V21="",Seeds!$C$8=""),"",V21-Seeds!$C$8)</f>
        <v>0.0229175237836892</v>
      </c>
      <c r="AG21" s="17" t="str">
        <f aca="false">IF(OR(AF21="",Seeds!$C$10=""),"",IF(ABS(AF21)&gt;Seeds!$C$10,"Có","Không"))</f>
        <v>Có</v>
      </c>
    </row>
    <row r="22" customFormat="false" ht="15" hidden="false" customHeight="true" outlineLevel="0" collapsed="false">
      <c r="A22" s="14" t="s">
        <v>205</v>
      </c>
      <c r="B22" s="14" t="s">
        <v>29</v>
      </c>
      <c r="C22" s="14" t="s">
        <v>206</v>
      </c>
      <c r="D22" s="14" t="s">
        <v>116</v>
      </c>
      <c r="E22" s="14" t="s">
        <v>157</v>
      </c>
      <c r="F22" s="14" t="n">
        <v>0.0003</v>
      </c>
      <c r="G22" s="14" t="n">
        <v>0</v>
      </c>
      <c r="H22" s="14" t="n">
        <v>512</v>
      </c>
      <c r="I22" s="14" t="n">
        <v>5</v>
      </c>
      <c r="J22" s="14" t="s">
        <v>118</v>
      </c>
      <c r="K22" s="14" t="n">
        <v>0</v>
      </c>
      <c r="L22" s="14" t="s">
        <v>119</v>
      </c>
      <c r="M22" s="14" t="s">
        <v>127</v>
      </c>
      <c r="N22" s="14" t="s">
        <v>121</v>
      </c>
      <c r="O22" s="14" t="n">
        <v>1</v>
      </c>
      <c r="P22" s="15" t="n">
        <v>2.26906180940364</v>
      </c>
      <c r="Q22" s="15" t="n">
        <v>0.432688776206104</v>
      </c>
      <c r="R22" s="14" t="n">
        <v>5</v>
      </c>
      <c r="S22" s="15" t="n">
        <v>0.426235363761423</v>
      </c>
      <c r="T22" s="15" t="n">
        <v>0.432688776206104</v>
      </c>
      <c r="U22" s="15" t="n">
        <v>0.818689356941546</v>
      </c>
      <c r="V22" s="15" t="n">
        <v>0.663976471542955</v>
      </c>
      <c r="W22" s="14" t="n">
        <v>3.95382461439949</v>
      </c>
      <c r="X22" s="14" t="n">
        <v>0</v>
      </c>
      <c r="Y22" s="16" t="b">
        <f aca="false">FALSE()</f>
        <v>0</v>
      </c>
      <c r="Z22" s="15"/>
      <c r="AA22" s="15"/>
      <c r="AB22" s="14" t="s">
        <v>207</v>
      </c>
      <c r="AC22" s="14" t="s">
        <v>194</v>
      </c>
      <c r="AD22" s="17" t="n">
        <f aca="false">IF(P22="","",P22-LN(7))</f>
        <v>0.323151660348328</v>
      </c>
      <c r="AE22" s="17" t="n">
        <f aca="false">IF(OR(T22="",S22=""),"",T22-S22)</f>
        <v>0.00645341244468173</v>
      </c>
      <c r="AF22" s="17" t="n">
        <f aca="false">IF(OR(V22="",Seeds!$C$8=""),"",V22-Seeds!$C$8)</f>
        <v>-0.192486500926549</v>
      </c>
      <c r="AG22" s="17" t="str">
        <f aca="false">IF(OR(AF22="",Seeds!$C$10=""),"",IF(ABS(AF22)&gt;Seeds!$C$10,"Có","Không"))</f>
        <v>Có</v>
      </c>
    </row>
    <row r="23" customFormat="false" ht="15" hidden="false" customHeight="true" outlineLevel="0" collapsed="false">
      <c r="A23" s="14" t="s">
        <v>208</v>
      </c>
      <c r="B23" s="14" t="s">
        <v>29</v>
      </c>
      <c r="C23" s="14" t="s">
        <v>209</v>
      </c>
      <c r="D23" s="14" t="s">
        <v>116</v>
      </c>
      <c r="E23" s="14" t="s">
        <v>157</v>
      </c>
      <c r="F23" s="14" t="n">
        <v>0.001</v>
      </c>
      <c r="G23" s="14" t="n">
        <v>0</v>
      </c>
      <c r="H23" s="14" t="n">
        <v>512</v>
      </c>
      <c r="I23" s="14" t="n">
        <v>5</v>
      </c>
      <c r="J23" s="14" t="s">
        <v>118</v>
      </c>
      <c r="K23" s="14" t="n">
        <v>0</v>
      </c>
      <c r="L23" s="14" t="s">
        <v>119</v>
      </c>
      <c r="M23" s="14" t="s">
        <v>127</v>
      </c>
      <c r="N23" s="14" t="s">
        <v>121</v>
      </c>
      <c r="O23" s="14" t="n">
        <v>1</v>
      </c>
      <c r="P23" s="15" t="n">
        <v>2.26906180940364</v>
      </c>
      <c r="Q23" s="15" t="n">
        <v>0.346773029361123</v>
      </c>
      <c r="R23" s="14" t="n">
        <v>5</v>
      </c>
      <c r="S23" s="15" t="n">
        <v>0.336698839821784</v>
      </c>
      <c r="T23" s="15" t="n">
        <v>0.346773029361123</v>
      </c>
      <c r="U23" s="15" t="n">
        <v>0.856016436823648</v>
      </c>
      <c r="V23" s="15" t="n">
        <v>0.736850470579793</v>
      </c>
      <c r="W23" s="14" t="n">
        <v>4.15566274839985</v>
      </c>
      <c r="X23" s="14" t="n">
        <v>0</v>
      </c>
      <c r="Y23" s="16" t="b">
        <f aca="false">FALSE()</f>
        <v>0</v>
      </c>
      <c r="Z23" s="15"/>
      <c r="AA23" s="15"/>
      <c r="AB23" s="14" t="s">
        <v>210</v>
      </c>
      <c r="AC23" s="14" t="s">
        <v>194</v>
      </c>
      <c r="AD23" s="17" t="n">
        <f aca="false">IF(P23="","",P23-LN(7))</f>
        <v>0.323151660348328</v>
      </c>
      <c r="AE23" s="17" t="n">
        <f aca="false">IF(OR(T23="",S23=""),"",T23-S23)</f>
        <v>0.0100741895393393</v>
      </c>
      <c r="AF23" s="17" t="n">
        <f aca="false">IF(OR(V23="",Seeds!$C$8=""),"",V23-Seeds!$C$8)</f>
        <v>-0.119612501889711</v>
      </c>
      <c r="AG23" s="17" t="str">
        <f aca="false">IF(OR(AF23="",Seeds!$C$10=""),"",IF(ABS(AF23)&gt;Seeds!$C$10,"Có","Không"))</f>
        <v>Có</v>
      </c>
    </row>
    <row r="24" customFormat="false" ht="15" hidden="false" customHeight="true" outlineLevel="0" collapsed="false">
      <c r="A24" s="14" t="s">
        <v>211</v>
      </c>
      <c r="B24" s="14" t="s">
        <v>29</v>
      </c>
      <c r="C24" s="14" t="s">
        <v>212</v>
      </c>
      <c r="D24" s="14" t="s">
        <v>116</v>
      </c>
      <c r="E24" s="14" t="s">
        <v>157</v>
      </c>
      <c r="F24" s="14" t="n">
        <v>0.003</v>
      </c>
      <c r="G24" s="14" t="n">
        <v>0</v>
      </c>
      <c r="H24" s="14" t="n">
        <v>512</v>
      </c>
      <c r="I24" s="14" t="n">
        <v>5</v>
      </c>
      <c r="J24" s="14" t="s">
        <v>118</v>
      </c>
      <c r="K24" s="14" t="n">
        <v>0</v>
      </c>
      <c r="L24" s="14" t="s">
        <v>119</v>
      </c>
      <c r="M24" s="14" t="s">
        <v>127</v>
      </c>
      <c r="N24" s="14" t="s">
        <v>121</v>
      </c>
      <c r="O24" s="14" t="n">
        <v>1</v>
      </c>
      <c r="P24" s="15" t="n">
        <v>2.26906180940364</v>
      </c>
      <c r="Q24" s="15" t="n">
        <v>0.292011086587505</v>
      </c>
      <c r="R24" s="14" t="n">
        <v>5</v>
      </c>
      <c r="S24" s="15" t="n">
        <v>0.279718954771195</v>
      </c>
      <c r="T24" s="15" t="n">
        <v>0.292011086587505</v>
      </c>
      <c r="U24" s="15" t="n">
        <v>0.880746971880984</v>
      </c>
      <c r="V24" s="15" t="n">
        <v>0.812126715714259</v>
      </c>
      <c r="W24" s="14" t="n">
        <v>4.7703834183998</v>
      </c>
      <c r="X24" s="14" t="n">
        <v>0</v>
      </c>
      <c r="Y24" s="16" t="b">
        <f aca="false">FALSE()</f>
        <v>0</v>
      </c>
      <c r="Z24" s="15"/>
      <c r="AA24" s="15"/>
      <c r="AB24" s="14" t="s">
        <v>213</v>
      </c>
      <c r="AC24" s="14" t="s">
        <v>194</v>
      </c>
      <c r="AD24" s="17" t="n">
        <f aca="false">IF(P24="","",P24-LN(7))</f>
        <v>0.323151660348328</v>
      </c>
      <c r="AE24" s="17" t="n">
        <f aca="false">IF(OR(T24="",S24=""),"",T24-S24)</f>
        <v>0.0122921318163098</v>
      </c>
      <c r="AF24" s="17" t="n">
        <f aca="false">IF(OR(V24="",Seeds!$C$8=""),"",V24-Seeds!$C$8)</f>
        <v>-0.0443362567552452</v>
      </c>
      <c r="AG24" s="17" t="str">
        <f aca="false">IF(OR(AF24="",Seeds!$C$10=""),"",IF(ABS(AF24)&gt;Seeds!$C$10,"Có","Không"))</f>
        <v>Có</v>
      </c>
    </row>
    <row r="25" customFormat="false" ht="15" hidden="false" customHeight="true" outlineLevel="0" collapsed="false">
      <c r="A25" s="14" t="s">
        <v>214</v>
      </c>
      <c r="B25" s="14" t="s">
        <v>29</v>
      </c>
      <c r="C25" s="14" t="s">
        <v>215</v>
      </c>
      <c r="D25" s="14" t="s">
        <v>116</v>
      </c>
      <c r="E25" s="14" t="s">
        <v>216</v>
      </c>
      <c r="F25" s="14" t="n">
        <v>0.003</v>
      </c>
      <c r="G25" s="14" t="n">
        <v>0.01</v>
      </c>
      <c r="H25" s="14" t="n">
        <v>512</v>
      </c>
      <c r="I25" s="14" t="n">
        <v>20</v>
      </c>
      <c r="J25" s="14" t="s">
        <v>118</v>
      </c>
      <c r="K25" s="14" t="n">
        <v>0</v>
      </c>
      <c r="L25" s="14" t="s">
        <v>119</v>
      </c>
      <c r="M25" s="14" t="s">
        <v>127</v>
      </c>
      <c r="N25" s="14" t="s">
        <v>121</v>
      </c>
      <c r="O25" s="14" t="n">
        <v>1</v>
      </c>
      <c r="P25" s="15" t="n">
        <v>2.26906180940364</v>
      </c>
      <c r="Q25" s="15" t="n">
        <v>0.21181735773715</v>
      </c>
      <c r="R25" s="14" t="n">
        <v>20</v>
      </c>
      <c r="S25" s="15" t="n">
        <v>0.187903844252948</v>
      </c>
      <c r="T25" s="15" t="n">
        <v>0.21181735773715</v>
      </c>
      <c r="U25" s="15" t="n">
        <v>0.915330995460511</v>
      </c>
      <c r="V25" s="15" t="n">
        <v>0.872263265557769</v>
      </c>
      <c r="W25" s="14" t="n">
        <v>3.77347926405018</v>
      </c>
      <c r="X25" s="14" t="n">
        <v>0</v>
      </c>
      <c r="Y25" s="16" t="b">
        <f aca="false">FALSE()</f>
        <v>0</v>
      </c>
      <c r="Z25" s="15"/>
      <c r="AA25" s="15"/>
      <c r="AB25" s="14" t="s">
        <v>217</v>
      </c>
      <c r="AC25" s="14" t="s">
        <v>218</v>
      </c>
      <c r="AD25" s="17" t="n">
        <f aca="false">IF(P25="","",P25-LN(7))</f>
        <v>0.323151660348328</v>
      </c>
      <c r="AE25" s="17" t="n">
        <f aca="false">IF(OR(T25="",S25=""),"",T25-S25)</f>
        <v>0.0239135134842025</v>
      </c>
      <c r="AF25" s="17" t="n">
        <f aca="false">IF(OR(V25="",Seeds!$C$8=""),"",V25-Seeds!$C$8)</f>
        <v>0.0158002930882645</v>
      </c>
      <c r="AG25" s="17" t="str">
        <f aca="false">IF(OR(AF25="",Seeds!$C$10=""),"",IF(ABS(AF25)&gt;Seeds!$C$10,"Có","Không"))</f>
        <v>Có</v>
      </c>
    </row>
    <row r="26" customFormat="false" ht="15" hidden="false" customHeight="true" outlineLevel="0" collapsed="false">
      <c r="A26" s="14" t="s">
        <v>219</v>
      </c>
      <c r="B26" s="14" t="s">
        <v>29</v>
      </c>
      <c r="C26" s="14" t="s">
        <v>220</v>
      </c>
      <c r="D26" s="14" t="s">
        <v>116</v>
      </c>
      <c r="E26" s="14" t="s">
        <v>216</v>
      </c>
      <c r="F26" s="14" t="n">
        <v>0.0003</v>
      </c>
      <c r="G26" s="14" t="n">
        <v>0.01</v>
      </c>
      <c r="H26" s="14" t="n">
        <v>512</v>
      </c>
      <c r="I26" s="14" t="n">
        <v>5</v>
      </c>
      <c r="J26" s="14" t="s">
        <v>118</v>
      </c>
      <c r="K26" s="14" t="n">
        <v>0</v>
      </c>
      <c r="L26" s="14" t="s">
        <v>119</v>
      </c>
      <c r="M26" s="14" t="s">
        <v>127</v>
      </c>
      <c r="N26" s="14" t="s">
        <v>121</v>
      </c>
      <c r="O26" s="14" t="n">
        <v>1</v>
      </c>
      <c r="P26" s="15" t="n">
        <v>2.26906180940364</v>
      </c>
      <c r="Q26" s="15" t="n">
        <v>0.433302402691254</v>
      </c>
      <c r="R26" s="14" t="n">
        <v>5</v>
      </c>
      <c r="S26" s="15" t="n">
        <v>0.426878590370124</v>
      </c>
      <c r="T26" s="15" t="n">
        <v>0.433302402691254</v>
      </c>
      <c r="U26" s="15" t="n">
        <v>0.818893741528797</v>
      </c>
      <c r="V26" s="15" t="n">
        <v>0.665413779220235</v>
      </c>
      <c r="W26" s="14" t="n">
        <v>2.79686333139944</v>
      </c>
      <c r="X26" s="14" t="n">
        <v>0</v>
      </c>
      <c r="Y26" s="16" t="b">
        <f aca="false">FALSE()</f>
        <v>0</v>
      </c>
      <c r="Z26" s="15"/>
      <c r="AA26" s="15"/>
      <c r="AB26" s="14" t="s">
        <v>221</v>
      </c>
      <c r="AC26" s="14" t="s">
        <v>194</v>
      </c>
      <c r="AD26" s="17" t="n">
        <f aca="false">IF(P26="","",P26-LN(7))</f>
        <v>0.323151660348328</v>
      </c>
      <c r="AE26" s="17" t="n">
        <f aca="false">IF(OR(T26="",S26=""),"",T26-S26)</f>
        <v>0.00642381232113048</v>
      </c>
      <c r="AF26" s="17" t="n">
        <f aca="false">IF(OR(V26="",Seeds!$C$8=""),"",V26-Seeds!$C$8)</f>
        <v>-0.191049193249269</v>
      </c>
      <c r="AG26" s="17" t="str">
        <f aca="false">IF(OR(AF26="",Seeds!$C$10=""),"",IF(ABS(AF26)&gt;Seeds!$C$10,"Có","Không"))</f>
        <v>Có</v>
      </c>
    </row>
    <row r="27" customFormat="false" ht="15" hidden="false" customHeight="true" outlineLevel="0" collapsed="false">
      <c r="A27" s="14" t="s">
        <v>222</v>
      </c>
      <c r="B27" s="14" t="s">
        <v>29</v>
      </c>
      <c r="C27" s="14" t="s">
        <v>223</v>
      </c>
      <c r="D27" s="14" t="s">
        <v>116</v>
      </c>
      <c r="E27" s="14" t="s">
        <v>216</v>
      </c>
      <c r="F27" s="14" t="n">
        <v>0.001</v>
      </c>
      <c r="G27" s="14" t="n">
        <v>0.01</v>
      </c>
      <c r="H27" s="14" t="n">
        <v>512</v>
      </c>
      <c r="I27" s="14" t="n">
        <v>5</v>
      </c>
      <c r="J27" s="14" t="s">
        <v>118</v>
      </c>
      <c r="K27" s="14" t="n">
        <v>0</v>
      </c>
      <c r="L27" s="14" t="s">
        <v>119</v>
      </c>
      <c r="M27" s="14" t="s">
        <v>127</v>
      </c>
      <c r="N27" s="14" t="s">
        <v>121</v>
      </c>
      <c r="O27" s="14" t="n">
        <v>1</v>
      </c>
      <c r="P27" s="15" t="n">
        <v>2.26906180940364</v>
      </c>
      <c r="Q27" s="15" t="n">
        <v>0.346291862598259</v>
      </c>
      <c r="R27" s="14" t="n">
        <v>5</v>
      </c>
      <c r="S27" s="15" t="n">
        <v>0.337013032333674</v>
      </c>
      <c r="T27" s="15" t="n">
        <v>0.346291862598259</v>
      </c>
      <c r="U27" s="15" t="n">
        <v>0.856145521826123</v>
      </c>
      <c r="V27" s="15" t="n">
        <v>0.733889492867548</v>
      </c>
      <c r="W27" s="14" t="n">
        <v>4.36818184040021</v>
      </c>
      <c r="X27" s="14" t="n">
        <v>0</v>
      </c>
      <c r="Y27" s="16" t="b">
        <f aca="false">FALSE()</f>
        <v>0</v>
      </c>
      <c r="Z27" s="15"/>
      <c r="AA27" s="15"/>
      <c r="AB27" s="14" t="s">
        <v>224</v>
      </c>
      <c r="AC27" s="14" t="s">
        <v>194</v>
      </c>
      <c r="AD27" s="17" t="n">
        <f aca="false">IF(P27="","",P27-LN(7))</f>
        <v>0.323151660348328</v>
      </c>
      <c r="AE27" s="17" t="n">
        <f aca="false">IF(OR(T27="",S27=""),"",T27-S27)</f>
        <v>0.0092788302645852</v>
      </c>
      <c r="AF27" s="17" t="n">
        <f aca="false">IF(OR(V27="",Seeds!$C$8=""),"",V27-Seeds!$C$8)</f>
        <v>-0.122573479601957</v>
      </c>
      <c r="AG27" s="17" t="str">
        <f aca="false">IF(OR(AF27="",Seeds!$C$10=""),"",IF(ABS(AF27)&gt;Seeds!$C$10,"Có","Không"))</f>
        <v>Có</v>
      </c>
    </row>
    <row r="28" customFormat="false" ht="15" hidden="false" customHeight="true" outlineLevel="0" collapsed="false">
      <c r="A28" s="14" t="s">
        <v>225</v>
      </c>
      <c r="B28" s="14" t="s">
        <v>29</v>
      </c>
      <c r="C28" s="14" t="s">
        <v>226</v>
      </c>
      <c r="D28" s="14" t="s">
        <v>116</v>
      </c>
      <c r="E28" s="14" t="s">
        <v>216</v>
      </c>
      <c r="F28" s="14" t="n">
        <v>0.003</v>
      </c>
      <c r="G28" s="14" t="n">
        <v>0.01</v>
      </c>
      <c r="H28" s="14" t="n">
        <v>512</v>
      </c>
      <c r="I28" s="14" t="n">
        <v>5</v>
      </c>
      <c r="J28" s="14" t="s">
        <v>118</v>
      </c>
      <c r="K28" s="14" t="n">
        <v>0</v>
      </c>
      <c r="L28" s="14" t="s">
        <v>119</v>
      </c>
      <c r="M28" s="14" t="s">
        <v>127</v>
      </c>
      <c r="N28" s="14" t="s">
        <v>121</v>
      </c>
      <c r="O28" s="14" t="n">
        <v>1</v>
      </c>
      <c r="P28" s="15" t="n">
        <v>2.26906180940364</v>
      </c>
      <c r="Q28" s="15" t="n">
        <v>0.295336773821225</v>
      </c>
      <c r="R28" s="14" t="n">
        <v>5</v>
      </c>
      <c r="S28" s="15" t="n">
        <v>0.284434140252546</v>
      </c>
      <c r="T28" s="15" t="n">
        <v>0.295336773821225</v>
      </c>
      <c r="U28" s="15" t="n">
        <v>0.879004324347583</v>
      </c>
      <c r="V28" s="15" t="n">
        <v>0.809562577208814</v>
      </c>
      <c r="W28" s="14" t="n">
        <v>4.910662925</v>
      </c>
      <c r="X28" s="14" t="n">
        <v>0</v>
      </c>
      <c r="Y28" s="16" t="b">
        <f aca="false">FALSE()</f>
        <v>0</v>
      </c>
      <c r="Z28" s="15"/>
      <c r="AA28" s="15"/>
      <c r="AB28" s="14" t="s">
        <v>227</v>
      </c>
      <c r="AC28" s="14" t="s">
        <v>194</v>
      </c>
      <c r="AD28" s="17" t="n">
        <f aca="false">IF(P28="","",P28-LN(7))</f>
        <v>0.323151660348328</v>
      </c>
      <c r="AE28" s="17" t="n">
        <f aca="false">IF(OR(T28="",S28=""),"",T28-S28)</f>
        <v>0.0109026335686799</v>
      </c>
      <c r="AF28" s="17" t="n">
        <f aca="false">IF(OR(V28="",Seeds!$C$8=""),"",V28-Seeds!$C$8)</f>
        <v>-0.0469003952606905</v>
      </c>
      <c r="AG28" s="17" t="str">
        <f aca="false">IF(OR(AF28="",Seeds!$C$10=""),"",IF(ABS(AF28)&gt;Seeds!$C$10,"Có","Không"))</f>
        <v>Có</v>
      </c>
    </row>
    <row r="29" customFormat="false" ht="15" hidden="false" customHeight="true" outlineLevel="0" collapsed="false">
      <c r="A29" s="14" t="s">
        <v>228</v>
      </c>
      <c r="B29" s="14" t="s">
        <v>29</v>
      </c>
      <c r="C29" s="14" t="s">
        <v>229</v>
      </c>
      <c r="D29" s="14" t="s">
        <v>116</v>
      </c>
      <c r="E29" s="14" t="s">
        <v>230</v>
      </c>
      <c r="F29" s="14" t="n">
        <v>0.3</v>
      </c>
      <c r="G29" s="14" t="n">
        <v>0</v>
      </c>
      <c r="H29" s="14" t="n">
        <v>512</v>
      </c>
      <c r="I29" s="14" t="n">
        <v>20</v>
      </c>
      <c r="J29" s="14" t="s">
        <v>118</v>
      </c>
      <c r="K29" s="14" t="n">
        <v>0</v>
      </c>
      <c r="L29" s="14" t="s">
        <v>119</v>
      </c>
      <c r="M29" s="14" t="s">
        <v>127</v>
      </c>
      <c r="N29" s="14" t="s">
        <v>121</v>
      </c>
      <c r="O29" s="14" t="n">
        <v>1</v>
      </c>
      <c r="P29" s="15" t="n">
        <v>2.26906180940364</v>
      </c>
      <c r="Q29" s="15" t="n">
        <v>0.288282272001724</v>
      </c>
      <c r="R29" s="14" t="n">
        <v>16</v>
      </c>
      <c r="S29" s="15" t="n">
        <v>0.38359719439012</v>
      </c>
      <c r="T29" s="15" t="n">
        <v>0.40069565633799</v>
      </c>
      <c r="U29" s="15" t="n">
        <v>0.881005141885932</v>
      </c>
      <c r="V29" s="15" t="n">
        <v>0.805161249011015</v>
      </c>
      <c r="W29" s="14" t="n">
        <v>2.86677615410017</v>
      </c>
      <c r="X29" s="14" t="n">
        <v>0</v>
      </c>
      <c r="Y29" s="16" t="b">
        <f aca="false">FALSE()</f>
        <v>0</v>
      </c>
      <c r="Z29" s="15"/>
      <c r="AA29" s="15"/>
      <c r="AB29" s="14" t="s">
        <v>231</v>
      </c>
      <c r="AC29" s="14" t="s">
        <v>232</v>
      </c>
      <c r="AD29" s="17" t="n">
        <f aca="false">IF(P29="","",P29-LN(7))</f>
        <v>0.323151660348328</v>
      </c>
      <c r="AE29" s="17" t="n">
        <f aca="false">IF(OR(T29="",S29=""),"",T29-S29)</f>
        <v>0.01709846194787</v>
      </c>
      <c r="AF29" s="17" t="n">
        <f aca="false">IF(OR(V29="",Seeds!$C$8=""),"",V29-Seeds!$C$8)</f>
        <v>-0.0513017234584893</v>
      </c>
      <c r="AG29" s="17" t="str">
        <f aca="false">IF(OR(AF29="",Seeds!$C$10=""),"",IF(ABS(AF29)&gt;Seeds!$C$10,"Có","Không"))</f>
        <v>Có</v>
      </c>
    </row>
    <row r="30" customFormat="false" ht="15" hidden="false" customHeight="true" outlineLevel="0" collapsed="false">
      <c r="A30" s="14" t="s">
        <v>233</v>
      </c>
      <c r="B30" s="14" t="s">
        <v>29</v>
      </c>
      <c r="C30" s="14" t="s">
        <v>234</v>
      </c>
      <c r="D30" s="14" t="s">
        <v>116</v>
      </c>
      <c r="E30" s="14" t="s">
        <v>230</v>
      </c>
      <c r="F30" s="14" t="n">
        <v>0.03</v>
      </c>
      <c r="G30" s="14" t="n">
        <v>0</v>
      </c>
      <c r="H30" s="14" t="n">
        <v>512</v>
      </c>
      <c r="I30" s="14" t="n">
        <v>5</v>
      </c>
      <c r="J30" s="14" t="s">
        <v>118</v>
      </c>
      <c r="K30" s="14" t="n">
        <v>0</v>
      </c>
      <c r="L30" s="14" t="s">
        <v>119</v>
      </c>
      <c r="M30" s="14" t="s">
        <v>127</v>
      </c>
      <c r="N30" s="14" t="s">
        <v>121</v>
      </c>
      <c r="O30" s="14" t="n">
        <v>1</v>
      </c>
      <c r="P30" s="15" t="n">
        <v>2.26906180940364</v>
      </c>
      <c r="Q30" s="15" t="n">
        <v>0.548833118797449</v>
      </c>
      <c r="R30" s="14" t="n">
        <v>5</v>
      </c>
      <c r="S30" s="15" t="n">
        <v>0.544643405372161</v>
      </c>
      <c r="T30" s="15" t="n">
        <v>0.548833118797449</v>
      </c>
      <c r="U30" s="15" t="n">
        <v>0.768991630989006</v>
      </c>
      <c r="V30" s="15" t="n">
        <v>0.557784003614034</v>
      </c>
      <c r="W30" s="14" t="n">
        <v>2.50933626340047</v>
      </c>
      <c r="X30" s="14" t="n">
        <v>0</v>
      </c>
      <c r="Y30" s="16" t="b">
        <f aca="false">FALSE()</f>
        <v>0</v>
      </c>
      <c r="Z30" s="15"/>
      <c r="AA30" s="15"/>
      <c r="AB30" s="14" t="s">
        <v>235</v>
      </c>
      <c r="AC30" s="14" t="s">
        <v>194</v>
      </c>
      <c r="AD30" s="17" t="n">
        <f aca="false">IF(P30="","",P30-LN(7))</f>
        <v>0.323151660348328</v>
      </c>
      <c r="AE30" s="17" t="n">
        <f aca="false">IF(OR(T30="",S30=""),"",T30-S30)</f>
        <v>0.00418971342528796</v>
      </c>
      <c r="AF30" s="17" t="n">
        <f aca="false">IF(OR(V30="",Seeds!$C$8=""),"",V30-Seeds!$C$8)</f>
        <v>-0.298678968855471</v>
      </c>
      <c r="AG30" s="17" t="str">
        <f aca="false">IF(OR(AF30="",Seeds!$C$10=""),"",IF(ABS(AF30)&gt;Seeds!$C$10,"Có","Không"))</f>
        <v>Có</v>
      </c>
    </row>
    <row r="31" customFormat="false" ht="15" hidden="false" customHeight="true" outlineLevel="0" collapsed="false">
      <c r="A31" s="14" t="s">
        <v>236</v>
      </c>
      <c r="B31" s="14" t="s">
        <v>29</v>
      </c>
      <c r="C31" s="14" t="s">
        <v>237</v>
      </c>
      <c r="D31" s="14" t="s">
        <v>116</v>
      </c>
      <c r="E31" s="14" t="s">
        <v>230</v>
      </c>
      <c r="F31" s="14" t="n">
        <v>0.1</v>
      </c>
      <c r="G31" s="14" t="n">
        <v>0</v>
      </c>
      <c r="H31" s="14" t="n">
        <v>512</v>
      </c>
      <c r="I31" s="14" t="n">
        <v>5</v>
      </c>
      <c r="J31" s="14" t="s">
        <v>118</v>
      </c>
      <c r="K31" s="14" t="n">
        <v>0</v>
      </c>
      <c r="L31" s="14" t="s">
        <v>119</v>
      </c>
      <c r="M31" s="14" t="s">
        <v>127</v>
      </c>
      <c r="N31" s="14" t="s">
        <v>121</v>
      </c>
      <c r="O31" s="14" t="n">
        <v>1</v>
      </c>
      <c r="P31" s="15" t="n">
        <v>2.26906180940364</v>
      </c>
      <c r="Q31" s="15" t="n">
        <v>0.467625677297074</v>
      </c>
      <c r="R31" s="14" t="n">
        <v>5</v>
      </c>
      <c r="S31" s="15" t="n">
        <v>0.462764514204704</v>
      </c>
      <c r="T31" s="15" t="n">
        <v>0.467625677297074</v>
      </c>
      <c r="U31" s="15" t="n">
        <v>0.80276887330307</v>
      </c>
      <c r="V31" s="15" t="n">
        <v>0.645042858094074</v>
      </c>
      <c r="W31" s="14" t="n">
        <v>3.0147639016006</v>
      </c>
      <c r="X31" s="14" t="n">
        <v>0</v>
      </c>
      <c r="Y31" s="16" t="b">
        <f aca="false">FALSE()</f>
        <v>0</v>
      </c>
      <c r="Z31" s="15"/>
      <c r="AA31" s="15"/>
      <c r="AB31" s="14" t="s">
        <v>238</v>
      </c>
      <c r="AC31" s="14" t="s">
        <v>194</v>
      </c>
      <c r="AD31" s="17" t="n">
        <f aca="false">IF(P31="","",P31-LN(7))</f>
        <v>0.323151660348328</v>
      </c>
      <c r="AE31" s="17" t="n">
        <f aca="false">IF(OR(T31="",S31=""),"",T31-S31)</f>
        <v>0.00486116309237034</v>
      </c>
      <c r="AF31" s="17" t="n">
        <f aca="false">IF(OR(V31="",Seeds!$C$8=""),"",V31-Seeds!$C$8)</f>
        <v>-0.211420114375431</v>
      </c>
      <c r="AG31" s="17" t="str">
        <f aca="false">IF(OR(AF31="",Seeds!$C$10=""),"",IF(ABS(AF31)&gt;Seeds!$C$10,"Có","Không"))</f>
        <v>Có</v>
      </c>
    </row>
    <row r="32" customFormat="false" ht="15" hidden="false" customHeight="true" outlineLevel="0" collapsed="false">
      <c r="A32" s="14" t="s">
        <v>239</v>
      </c>
      <c r="B32" s="14" t="s">
        <v>29</v>
      </c>
      <c r="C32" s="14" t="s">
        <v>240</v>
      </c>
      <c r="D32" s="14" t="s">
        <v>116</v>
      </c>
      <c r="E32" s="14" t="s">
        <v>230</v>
      </c>
      <c r="F32" s="14" t="n">
        <v>0.3</v>
      </c>
      <c r="G32" s="14" t="n">
        <v>0</v>
      </c>
      <c r="H32" s="14" t="n">
        <v>512</v>
      </c>
      <c r="I32" s="14" t="n">
        <v>5</v>
      </c>
      <c r="J32" s="14" t="s">
        <v>118</v>
      </c>
      <c r="K32" s="14" t="n">
        <v>0</v>
      </c>
      <c r="L32" s="14" t="s">
        <v>119</v>
      </c>
      <c r="M32" s="14" t="s">
        <v>127</v>
      </c>
      <c r="N32" s="14" t="s">
        <v>121</v>
      </c>
      <c r="O32" s="14" t="n">
        <v>1</v>
      </c>
      <c r="P32" s="15" t="n">
        <v>2.26906180940364</v>
      </c>
      <c r="Q32" s="15" t="n">
        <v>0.419714308721658</v>
      </c>
      <c r="R32" s="14" t="n">
        <v>5</v>
      </c>
      <c r="S32" s="15" t="n">
        <v>0.413194574881437</v>
      </c>
      <c r="T32" s="15" t="n">
        <v>0.419714308721658</v>
      </c>
      <c r="U32" s="15" t="n">
        <v>0.823250360362299</v>
      </c>
      <c r="V32" s="15" t="n">
        <v>0.7020102339859</v>
      </c>
      <c r="W32" s="14" t="n">
        <v>2.47226403160021</v>
      </c>
      <c r="X32" s="14" t="n">
        <v>0</v>
      </c>
      <c r="Y32" s="16" t="b">
        <f aca="false">FALSE()</f>
        <v>0</v>
      </c>
      <c r="Z32" s="15"/>
      <c r="AA32" s="15"/>
      <c r="AB32" s="14" t="s">
        <v>241</v>
      </c>
      <c r="AC32" s="14" t="s">
        <v>194</v>
      </c>
      <c r="AD32" s="17" t="n">
        <f aca="false">IF(P32="","",P32-LN(7))</f>
        <v>0.323151660348328</v>
      </c>
      <c r="AE32" s="17" t="n">
        <f aca="false">IF(OR(T32="",S32=""),"",T32-S32)</f>
        <v>0.00651973384022186</v>
      </c>
      <c r="AF32" s="17" t="n">
        <f aca="false">IF(OR(V32="",Seeds!$C$8=""),"",V32-Seeds!$C$8)</f>
        <v>-0.154452738483605</v>
      </c>
      <c r="AG32" s="17" t="str">
        <f aca="false">IF(OR(AF32="",Seeds!$C$10=""),"",IF(ABS(AF32)&gt;Seeds!$C$10,"Có","Không"))</f>
        <v>Có</v>
      </c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  <c r="R33" s="14"/>
      <c r="S33" s="15"/>
      <c r="T33" s="15"/>
      <c r="U33" s="15"/>
      <c r="V33" s="15"/>
      <c r="W33" s="14"/>
      <c r="X33" s="14"/>
      <c r="Y33" s="14"/>
      <c r="Z33" s="15"/>
      <c r="AA33" s="15"/>
      <c r="AB33" s="14"/>
      <c r="AC33" s="14"/>
      <c r="AD33" s="17" t="str">
        <f aca="false">IF(P33="","",P33-LN(7))</f>
        <v/>
      </c>
      <c r="AE33" s="17" t="str">
        <f aca="false">IF(OR(T33="",S33=""),"",T33-S33)</f>
        <v/>
      </c>
      <c r="AF33" s="17" t="str">
        <f aca="false">IF(OR(V33="",Seeds!$C$8=""),"",V33-Seeds!$C$8)</f>
        <v/>
      </c>
      <c r="AG33" s="17" t="str">
        <f aca="false">IF(OR(AF33="",Seeds!$C$10=""),"",IF(ABS(AF33)&gt;Seeds!$C$10,"Có","Không"))</f>
        <v/>
      </c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5"/>
      <c r="Q34" s="15"/>
      <c r="R34" s="14"/>
      <c r="S34" s="15"/>
      <c r="T34" s="15"/>
      <c r="U34" s="15"/>
      <c r="V34" s="15"/>
      <c r="W34" s="14"/>
      <c r="X34" s="14"/>
      <c r="Y34" s="14"/>
      <c r="Z34" s="15"/>
      <c r="AA34" s="15"/>
      <c r="AB34" s="14"/>
      <c r="AC34" s="14"/>
      <c r="AD34" s="17" t="str">
        <f aca="false">IF(P34="","",P34-LN(7))</f>
        <v/>
      </c>
      <c r="AE34" s="17" t="str">
        <f aca="false">IF(OR(T34="",S34=""),"",T34-S34)</f>
        <v/>
      </c>
      <c r="AF34" s="17" t="str">
        <f aca="false">IF(OR(V34="",Seeds!$C$8=""),"",V34-Seeds!$C$8)</f>
        <v/>
      </c>
      <c r="AG34" s="17" t="str">
        <f aca="false">IF(OR(AF34="",Seeds!$C$10=""),"",IF(ABS(AF34)&gt;Seeds!$C$10,"Có","Không"))</f>
        <v/>
      </c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/>
      <c r="Q35" s="15"/>
      <c r="R35" s="14"/>
      <c r="S35" s="15"/>
      <c r="T35" s="15"/>
      <c r="U35" s="15"/>
      <c r="V35" s="15"/>
      <c r="W35" s="14"/>
      <c r="X35" s="14"/>
      <c r="Y35" s="14"/>
      <c r="Z35" s="15"/>
      <c r="AA35" s="15"/>
      <c r="AB35" s="14"/>
      <c r="AC35" s="14"/>
      <c r="AD35" s="17" t="str">
        <f aca="false">IF(P35="","",P35-LN(7))</f>
        <v/>
      </c>
      <c r="AE35" s="17" t="str">
        <f aca="false">IF(OR(T35="",S35=""),"",T35-S35)</f>
        <v/>
      </c>
      <c r="AF35" s="17" t="str">
        <f aca="false">IF(OR(V35="",Seeds!$C$8=""),"",V35-Seeds!$C$8)</f>
        <v/>
      </c>
      <c r="AG35" s="17" t="str">
        <f aca="false">IF(OR(AF35="",Seeds!$C$10=""),"",IF(ABS(AF35)&gt;Seeds!$C$10,"Có","Không"))</f>
        <v/>
      </c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/>
      <c r="Q36" s="15"/>
      <c r="R36" s="14"/>
      <c r="S36" s="15"/>
      <c r="T36" s="15"/>
      <c r="U36" s="15"/>
      <c r="V36" s="15"/>
      <c r="W36" s="14"/>
      <c r="X36" s="14"/>
      <c r="Y36" s="14"/>
      <c r="Z36" s="15"/>
      <c r="AA36" s="15"/>
      <c r="AB36" s="14"/>
      <c r="AC36" s="14"/>
      <c r="AD36" s="17" t="str">
        <f aca="false">IF(P36="","",P36-LN(7))</f>
        <v/>
      </c>
      <c r="AE36" s="17" t="str">
        <f aca="false">IF(OR(T36="",S36=""),"",T36-S36)</f>
        <v/>
      </c>
      <c r="AF36" s="17" t="str">
        <f aca="false">IF(OR(V36="",Seeds!$C$8=""),"",V36-Seeds!$C$8)</f>
        <v/>
      </c>
      <c r="AG36" s="17" t="str">
        <f aca="false">IF(OR(AF36="",Seeds!$C$10=""),"",IF(ABS(AF36)&gt;Seeds!$C$10,"Có","Không"))</f>
        <v/>
      </c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/>
      <c r="Q37" s="15"/>
      <c r="R37" s="14"/>
      <c r="S37" s="15"/>
      <c r="T37" s="15"/>
      <c r="U37" s="15"/>
      <c r="V37" s="15"/>
      <c r="W37" s="14"/>
      <c r="X37" s="14"/>
      <c r="Y37" s="14"/>
      <c r="Z37" s="15"/>
      <c r="AA37" s="15"/>
      <c r="AB37" s="14"/>
      <c r="AC37" s="14"/>
      <c r="AD37" s="17" t="str">
        <f aca="false">IF(P37="","",P37-LN(7))</f>
        <v/>
      </c>
      <c r="AE37" s="17" t="str">
        <f aca="false">IF(OR(T37="",S37=""),"",T37-S37)</f>
        <v/>
      </c>
      <c r="AF37" s="17" t="str">
        <f aca="false">IF(OR(V37="",Seeds!$C$8=""),"",V37-Seeds!$C$8)</f>
        <v/>
      </c>
      <c r="AG37" s="17" t="str">
        <f aca="false">IF(OR(AF37="",Seeds!$C$10=""),"",IF(ABS(AF37)&gt;Seeds!$C$10,"Có","Không"))</f>
        <v/>
      </c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/>
      <c r="Q38" s="15"/>
      <c r="R38" s="14"/>
      <c r="S38" s="15"/>
      <c r="T38" s="15"/>
      <c r="U38" s="15"/>
      <c r="V38" s="15"/>
      <c r="W38" s="14"/>
      <c r="X38" s="14"/>
      <c r="Y38" s="14"/>
      <c r="Z38" s="15"/>
      <c r="AA38" s="15"/>
      <c r="AB38" s="14"/>
      <c r="AC38" s="14"/>
      <c r="AD38" s="17" t="str">
        <f aca="false">IF(P38="","",P38-LN(7))</f>
        <v/>
      </c>
      <c r="AE38" s="17" t="str">
        <f aca="false">IF(OR(T38="",S38=""),"",T38-S38)</f>
        <v/>
      </c>
      <c r="AF38" s="17" t="str">
        <f aca="false">IF(OR(V38="",Seeds!$C$8=""),"",V38-Seeds!$C$8)</f>
        <v/>
      </c>
      <c r="AG38" s="17" t="str">
        <f aca="false">IF(OR(AF38="",Seeds!$C$10=""),"",IF(ABS(AF38)&gt;Seeds!$C$10,"Có","Không"))</f>
        <v/>
      </c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/>
      <c r="Q39" s="15"/>
      <c r="R39" s="14"/>
      <c r="S39" s="15"/>
      <c r="T39" s="15"/>
      <c r="U39" s="15"/>
      <c r="V39" s="15"/>
      <c r="W39" s="14"/>
      <c r="X39" s="14"/>
      <c r="Y39" s="14"/>
      <c r="Z39" s="15"/>
      <c r="AA39" s="15"/>
      <c r="AB39" s="14"/>
      <c r="AC39" s="14"/>
      <c r="AD39" s="17" t="str">
        <f aca="false">IF(P39="","",P39-LN(7))</f>
        <v/>
      </c>
      <c r="AE39" s="17" t="str">
        <f aca="false">IF(OR(T39="",S39=""),"",T39-S39)</f>
        <v/>
      </c>
      <c r="AF39" s="17" t="str">
        <f aca="false">IF(OR(V39="",Seeds!$C$8=""),"",V39-Seeds!$C$8)</f>
        <v/>
      </c>
      <c r="AG39" s="17" t="str">
        <f aca="false">IF(OR(AF39="",Seeds!$C$10=""),"",IF(ABS(AF39)&gt;Seeds!$C$10,"Có","Không"))</f>
        <v/>
      </c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  <c r="Q40" s="15"/>
      <c r="R40" s="14"/>
      <c r="S40" s="15"/>
      <c r="T40" s="15"/>
      <c r="U40" s="15"/>
      <c r="V40" s="15"/>
      <c r="W40" s="14"/>
      <c r="X40" s="14"/>
      <c r="Y40" s="14"/>
      <c r="Z40" s="15"/>
      <c r="AA40" s="15"/>
      <c r="AB40" s="14"/>
      <c r="AC40" s="14"/>
      <c r="AD40" s="17" t="str">
        <f aca="false">IF(P40="","",P40-LN(7))</f>
        <v/>
      </c>
      <c r="AE40" s="17" t="str">
        <f aca="false">IF(OR(T40="",S40=""),"",T40-S40)</f>
        <v/>
      </c>
      <c r="AF40" s="17" t="str">
        <f aca="false">IF(OR(V40="",Seeds!$C$8=""),"",V40-Seeds!$C$8)</f>
        <v/>
      </c>
      <c r="AG40" s="17" t="str">
        <f aca="false">IF(OR(AF40="",Seeds!$C$10=""),"",IF(ABS(AF40)&gt;Seeds!$C$10,"Có","Không"))</f>
        <v/>
      </c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4"/>
      <c r="S41" s="15"/>
      <c r="T41" s="15"/>
      <c r="U41" s="15"/>
      <c r="V41" s="15"/>
      <c r="W41" s="14"/>
      <c r="X41" s="14"/>
      <c r="Y41" s="14"/>
      <c r="Z41" s="15"/>
      <c r="AA41" s="15"/>
      <c r="AB41" s="14"/>
      <c r="AC41" s="14"/>
      <c r="AD41" s="17" t="str">
        <f aca="false">IF(P41="","",P41-LN(7))</f>
        <v/>
      </c>
      <c r="AE41" s="17" t="str">
        <f aca="false">IF(OR(T41="",S41=""),"",T41-S41)</f>
        <v/>
      </c>
      <c r="AF41" s="17" t="str">
        <f aca="false">IF(OR(V41="",Seeds!$C$8=""),"",V41-Seeds!$C$8)</f>
        <v/>
      </c>
      <c r="AG41" s="17" t="str">
        <f aca="false">IF(OR(AF41="",Seeds!$C$10=""),"",IF(ABS(AF41)&gt;Seeds!$C$10,"Có","Không"))</f>
        <v/>
      </c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  <c r="R42" s="14"/>
      <c r="S42" s="15"/>
      <c r="T42" s="15"/>
      <c r="U42" s="15"/>
      <c r="V42" s="15"/>
      <c r="W42" s="14"/>
      <c r="X42" s="14"/>
      <c r="Y42" s="14"/>
      <c r="Z42" s="15"/>
      <c r="AA42" s="15"/>
      <c r="AB42" s="14"/>
      <c r="AC42" s="14"/>
      <c r="AD42" s="17" t="str">
        <f aca="false">IF(P42="","",P42-LN(7))</f>
        <v/>
      </c>
      <c r="AE42" s="17" t="str">
        <f aca="false">IF(OR(T42="",S42=""),"",T42-S42)</f>
        <v/>
      </c>
      <c r="AF42" s="17" t="str">
        <f aca="false">IF(OR(V42="",Seeds!$C$8=""),"",V42-Seeds!$C$8)</f>
        <v/>
      </c>
      <c r="AG42" s="17" t="str">
        <f aca="false">IF(OR(AF42="",Seeds!$C$10=""),"",IF(ABS(AF42)&gt;Seeds!$C$10,"Có","Không"))</f>
        <v/>
      </c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5"/>
      <c r="T43" s="15"/>
      <c r="U43" s="15"/>
      <c r="V43" s="15"/>
      <c r="W43" s="14"/>
      <c r="X43" s="14"/>
      <c r="Y43" s="14"/>
      <c r="Z43" s="15"/>
      <c r="AA43" s="15"/>
      <c r="AB43" s="14"/>
      <c r="AC43" s="14"/>
      <c r="AD43" s="17" t="str">
        <f aca="false">IF(P43="","",P43-LN(7))</f>
        <v/>
      </c>
      <c r="AE43" s="17" t="str">
        <f aca="false">IF(OR(T43="",S43=""),"",T43-S43)</f>
        <v/>
      </c>
      <c r="AF43" s="17" t="str">
        <f aca="false">IF(OR(V43="",Seeds!$C$8=""),"",V43-Seeds!$C$8)</f>
        <v/>
      </c>
      <c r="AG43" s="17" t="str">
        <f aca="false">IF(OR(AF43="",Seeds!$C$10=""),"",IF(ABS(AF43)&gt;Seeds!$C$10,"Có","Không"))</f>
        <v/>
      </c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5"/>
      <c r="T44" s="15"/>
      <c r="U44" s="15"/>
      <c r="V44" s="15"/>
      <c r="W44" s="14"/>
      <c r="X44" s="14"/>
      <c r="Y44" s="14"/>
      <c r="Z44" s="15"/>
      <c r="AA44" s="15"/>
      <c r="AB44" s="14"/>
      <c r="AC44" s="14"/>
      <c r="AD44" s="17" t="str">
        <f aca="false">IF(P44="","",P44-LN(7))</f>
        <v/>
      </c>
      <c r="AE44" s="17" t="str">
        <f aca="false">IF(OR(T44="",S44=""),"",T44-S44)</f>
        <v/>
      </c>
      <c r="AF44" s="17" t="str">
        <f aca="false">IF(OR(V44="",Seeds!$C$8=""),"",V44-Seeds!$C$8)</f>
        <v/>
      </c>
      <c r="AG44" s="17" t="str">
        <f aca="false">IF(OR(AF44="",Seeds!$C$10=""),"",IF(ABS(AF44)&gt;Seeds!$C$10,"Có","Không"))</f>
        <v/>
      </c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5"/>
      <c r="T45" s="15"/>
      <c r="U45" s="15"/>
      <c r="V45" s="15"/>
      <c r="W45" s="14"/>
      <c r="X45" s="14"/>
      <c r="Y45" s="14"/>
      <c r="Z45" s="15"/>
      <c r="AA45" s="15"/>
      <c r="AB45" s="14"/>
      <c r="AC45" s="14"/>
      <c r="AD45" s="17" t="str">
        <f aca="false">IF(P45="","",P45-LN(7))</f>
        <v/>
      </c>
      <c r="AE45" s="17" t="str">
        <f aca="false">IF(OR(T45="",S45=""),"",T45-S45)</f>
        <v/>
      </c>
      <c r="AF45" s="17" t="str">
        <f aca="false">IF(OR(V45="",Seeds!$C$8=""),"",V45-Seeds!$C$8)</f>
        <v/>
      </c>
      <c r="AG45" s="17" t="str">
        <f aca="false">IF(OR(AF45="",Seeds!$C$10=""),"",IF(ABS(AF45)&gt;Seeds!$C$10,"Có","Không"))</f>
        <v/>
      </c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5"/>
      <c r="T46" s="15"/>
      <c r="U46" s="15"/>
      <c r="V46" s="15"/>
      <c r="W46" s="14"/>
      <c r="X46" s="14"/>
      <c r="Y46" s="14"/>
      <c r="Z46" s="15"/>
      <c r="AA46" s="15"/>
      <c r="AB46" s="14"/>
      <c r="AC46" s="14"/>
      <c r="AD46" s="17" t="str">
        <f aca="false">IF(P46="","",P46-LN(7))</f>
        <v/>
      </c>
      <c r="AE46" s="17" t="str">
        <f aca="false">IF(OR(T46="",S46=""),"",T46-S46)</f>
        <v/>
      </c>
      <c r="AF46" s="17" t="str">
        <f aca="false">IF(OR(V46="",Seeds!$C$8=""),"",V46-Seeds!$C$8)</f>
        <v/>
      </c>
      <c r="AG46" s="17" t="str">
        <f aca="false">IF(OR(AF46="",Seeds!$C$10=""),"",IF(ABS(AF46)&gt;Seeds!$C$10,"Có","Không"))</f>
        <v/>
      </c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5"/>
      <c r="T47" s="15"/>
      <c r="U47" s="15"/>
      <c r="V47" s="15"/>
      <c r="W47" s="14"/>
      <c r="X47" s="14"/>
      <c r="Y47" s="14"/>
      <c r="Z47" s="15"/>
      <c r="AA47" s="15"/>
      <c r="AB47" s="14"/>
      <c r="AC47" s="14"/>
      <c r="AD47" s="17" t="str">
        <f aca="false">IF(P47="","",P47-LN(7))</f>
        <v/>
      </c>
      <c r="AE47" s="17" t="str">
        <f aca="false">IF(OR(T47="",S47=""),"",T47-S47)</f>
        <v/>
      </c>
      <c r="AF47" s="17" t="str">
        <f aca="false">IF(OR(V47="",Seeds!$C$8=""),"",V47-Seeds!$C$8)</f>
        <v/>
      </c>
      <c r="AG47" s="17" t="str">
        <f aca="false">IF(OR(AF47="",Seeds!$C$10=""),"",IF(ABS(AF47)&gt;Seeds!$C$10,"Có","Không"))</f>
        <v/>
      </c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5"/>
      <c r="T48" s="15"/>
      <c r="U48" s="15"/>
      <c r="V48" s="15"/>
      <c r="W48" s="14"/>
      <c r="X48" s="14"/>
      <c r="Y48" s="14"/>
      <c r="Z48" s="15"/>
      <c r="AA48" s="15"/>
      <c r="AB48" s="14"/>
      <c r="AC48" s="14"/>
      <c r="AD48" s="17" t="str">
        <f aca="false">IF(P48="","",P48-LN(7))</f>
        <v/>
      </c>
      <c r="AE48" s="17" t="str">
        <f aca="false">IF(OR(T48="",S48=""),"",T48-S48)</f>
        <v/>
      </c>
      <c r="AF48" s="17" t="str">
        <f aca="false">IF(OR(V48="",Seeds!$C$8=""),"",V48-Seeds!$C$8)</f>
        <v/>
      </c>
      <c r="AG48" s="17" t="str">
        <f aca="false">IF(OR(AF48="",Seeds!$C$10=""),"",IF(ABS(AF48)&gt;Seeds!$C$10,"Có","Không"))</f>
        <v/>
      </c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  <c r="R49" s="14"/>
      <c r="S49" s="15"/>
      <c r="T49" s="15"/>
      <c r="U49" s="15"/>
      <c r="V49" s="15"/>
      <c r="W49" s="14"/>
      <c r="X49" s="14"/>
      <c r="Y49" s="14"/>
      <c r="Z49" s="15"/>
      <c r="AA49" s="15"/>
      <c r="AB49" s="14"/>
      <c r="AC49" s="14"/>
      <c r="AD49" s="17" t="str">
        <f aca="false">IF(P49="","",P49-LN(7))</f>
        <v/>
      </c>
      <c r="AE49" s="17" t="str">
        <f aca="false">IF(OR(T49="",S49=""),"",T49-S49)</f>
        <v/>
      </c>
      <c r="AF49" s="17" t="str">
        <f aca="false">IF(OR(V49="",Seeds!$C$8=""),"",V49-Seeds!$C$8)</f>
        <v/>
      </c>
      <c r="AG49" s="17" t="str">
        <f aca="false">IF(OR(AF49="",Seeds!$C$10=""),"",IF(ABS(AF49)&gt;Seeds!$C$10,"Có","Không"))</f>
        <v/>
      </c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4"/>
      <c r="S50" s="15"/>
      <c r="T50" s="15"/>
      <c r="U50" s="15"/>
      <c r="V50" s="15"/>
      <c r="W50" s="14"/>
      <c r="X50" s="14"/>
      <c r="Y50" s="14"/>
      <c r="Z50" s="15"/>
      <c r="AA50" s="15"/>
      <c r="AB50" s="14"/>
      <c r="AC50" s="14"/>
      <c r="AD50" s="17" t="str">
        <f aca="false">IF(P50="","",P50-LN(7))</f>
        <v/>
      </c>
      <c r="AE50" s="17" t="str">
        <f aca="false">IF(OR(T50="",S50=""),"",T50-S50)</f>
        <v/>
      </c>
      <c r="AF50" s="17" t="str">
        <f aca="false">IF(OR(V50="",Seeds!$C$8=""),"",V50-Seeds!$C$8)</f>
        <v/>
      </c>
      <c r="AG50" s="17" t="str">
        <f aca="false">IF(OR(AF50="",Seeds!$C$10=""),"",IF(ABS(AF50)&gt;Seeds!$C$10,"Có","Không"))</f>
        <v/>
      </c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/>
      <c r="Q51" s="15"/>
      <c r="R51" s="14"/>
      <c r="S51" s="15"/>
      <c r="T51" s="15"/>
      <c r="U51" s="15"/>
      <c r="V51" s="15"/>
      <c r="W51" s="14"/>
      <c r="X51" s="14"/>
      <c r="Y51" s="14"/>
      <c r="Z51" s="15"/>
      <c r="AA51" s="15"/>
      <c r="AB51" s="14"/>
      <c r="AC51" s="14"/>
      <c r="AD51" s="17" t="str">
        <f aca="false">IF(P51="","",P51-LN(7))</f>
        <v/>
      </c>
      <c r="AE51" s="17" t="str">
        <f aca="false">IF(OR(T51="",S51=""),"",T51-S51)</f>
        <v/>
      </c>
      <c r="AF51" s="17" t="str">
        <f aca="false">IF(OR(V51="",Seeds!$C$8=""),"",V51-Seeds!$C$8)</f>
        <v/>
      </c>
      <c r="AG51" s="17" t="str">
        <f aca="false">IF(OR(AF51="",Seeds!$C$10=""),"",IF(ABS(AF51)&gt;Seeds!$C$10,"Có","Không"))</f>
        <v/>
      </c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  <c r="R52" s="14"/>
      <c r="S52" s="15"/>
      <c r="T52" s="15"/>
      <c r="U52" s="15"/>
      <c r="V52" s="15"/>
      <c r="W52" s="14"/>
      <c r="X52" s="14"/>
      <c r="Y52" s="14"/>
      <c r="Z52" s="15"/>
      <c r="AA52" s="15"/>
      <c r="AB52" s="14"/>
      <c r="AC52" s="14"/>
      <c r="AD52" s="17" t="str">
        <f aca="false">IF(P52="","",P52-LN(7))</f>
        <v/>
      </c>
      <c r="AE52" s="17" t="str">
        <f aca="false">IF(OR(T52="",S52=""),"",T52-S52)</f>
        <v/>
      </c>
      <c r="AF52" s="17" t="str">
        <f aca="false">IF(OR(V52="",Seeds!$C$8=""),"",V52-Seeds!$C$8)</f>
        <v/>
      </c>
      <c r="AG52" s="17" t="str">
        <f aca="false">IF(OR(AF52="",Seeds!$C$10=""),"",IF(ABS(AF52)&gt;Seeds!$C$10,"Có","Không"))</f>
        <v/>
      </c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5"/>
      <c r="T53" s="15"/>
      <c r="U53" s="15"/>
      <c r="V53" s="15"/>
      <c r="W53" s="14"/>
      <c r="X53" s="14"/>
      <c r="Y53" s="14"/>
      <c r="Z53" s="15"/>
      <c r="AA53" s="15"/>
      <c r="AB53" s="14"/>
      <c r="AC53" s="14"/>
      <c r="AD53" s="17" t="str">
        <f aca="false">IF(P53="","",P53-LN(7))</f>
        <v/>
      </c>
      <c r="AE53" s="17" t="str">
        <f aca="false">IF(OR(T53="",S53=""),"",T53-S53)</f>
        <v/>
      </c>
      <c r="AF53" s="17" t="str">
        <f aca="false">IF(OR(V53="",Seeds!$C$8=""),"",V53-Seeds!$C$8)</f>
        <v/>
      </c>
      <c r="AG53" s="17" t="str">
        <f aca="false">IF(OR(AF53="",Seeds!$C$10=""),"",IF(ABS(AF53)&gt;Seeds!$C$10,"Có","Không"))</f>
        <v/>
      </c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7" t="str">
        <f aca="false">IF(P54="","",P54-LN(7))</f>
        <v/>
      </c>
      <c r="AE54" s="17" t="str">
        <f aca="false">IF(OR(T54="",S54=""),"",T54-S54)</f>
        <v/>
      </c>
      <c r="AF54" s="17" t="str">
        <f aca="false">IF(OR(V54="",Seeds!$C$8=""),"",V54-Seeds!$C$8)</f>
        <v/>
      </c>
      <c r="AG54" s="17" t="str">
        <f aca="false">IF(OR(AF54="",Seeds!$C$10=""),"",IF(ABS(AF54)&gt;Seeds!$C$10,"Có","Không"))</f>
        <v/>
      </c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7" t="str">
        <f aca="false">IF(P55="","",P55-LN(7))</f>
        <v/>
      </c>
      <c r="AE55" s="17" t="str">
        <f aca="false">IF(OR(T55="",S55=""),"",T55-S55)</f>
        <v/>
      </c>
      <c r="AF55" s="17" t="str">
        <f aca="false">IF(OR(V55="",Seeds!$C$8=""),"",V55-Seeds!$C$8)</f>
        <v/>
      </c>
      <c r="AG55" s="17" t="str">
        <f aca="false">IF(OR(AF55="",Seeds!$C$10=""),"",IF(ABS(AF55)&gt;Seeds!$C$10,"Có","Không"))</f>
        <v/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7" t="str">
        <f aca="false">IF(P56="","",P56-LN(7))</f>
        <v/>
      </c>
      <c r="AE56" s="17" t="str">
        <f aca="false">IF(OR(T56="",S56=""),"",T56-S56)</f>
        <v/>
      </c>
      <c r="AF56" s="17" t="str">
        <f aca="false">IF(OR(V56="",Seeds!$C$8=""),"",V56-Seeds!$C$8)</f>
        <v/>
      </c>
      <c r="AG56" s="17" t="str">
        <f aca="false">IF(OR(AF56="",Seeds!$C$10=""),"",IF(ABS(AF56)&gt;Seeds!$C$10,"Có","Không"))</f>
        <v/>
      </c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7" t="str">
        <f aca="false">IF(P57="","",P57-LN(7))</f>
        <v/>
      </c>
      <c r="AE57" s="17" t="str">
        <f aca="false">IF(OR(T57="",S57=""),"",T57-S57)</f>
        <v/>
      </c>
      <c r="AF57" s="17" t="str">
        <f aca="false">IF(OR(V57="",Seeds!$C$8=""),"",V57-Seeds!$C$8)</f>
        <v/>
      </c>
      <c r="AG57" s="17" t="str">
        <f aca="false">IF(OR(AF57="",Seeds!$C$10=""),"",IF(ABS(AF57)&gt;Seeds!$C$10,"Có","Không"))</f>
        <v/>
      </c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7" t="str">
        <f aca="false">IF(P58="","",P58-LN(7))</f>
        <v/>
      </c>
      <c r="AE58" s="17" t="str">
        <f aca="false">IF(OR(T58="",S58=""),"",T58-S58)</f>
        <v/>
      </c>
      <c r="AF58" s="17" t="str">
        <f aca="false">IF(OR(V58="",Seeds!$C$8=""),"",V58-Seeds!$C$8)</f>
        <v/>
      </c>
      <c r="AG58" s="17" t="str">
        <f aca="false">IF(OR(AF58="",Seeds!$C$10=""),"",IF(ABS(AF58)&gt;Seeds!$C$10,"Có","Không"))</f>
        <v/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7" t="str">
        <f aca="false">IF(P59="","",P59-LN(7))</f>
        <v/>
      </c>
      <c r="AE59" s="17" t="str">
        <f aca="false">IF(OR(T59="",S59=""),"",T59-S59)</f>
        <v/>
      </c>
      <c r="AF59" s="17" t="str">
        <f aca="false">IF(OR(V59="",Seeds!$C$8=""),"",V59-Seeds!$C$8)</f>
        <v/>
      </c>
      <c r="AG59" s="17" t="str">
        <f aca="false">IF(OR(AF59="",Seeds!$C$10=""),"",IF(ABS(AF59)&gt;Seeds!$C$10,"Có","Không"))</f>
        <v/>
      </c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7" t="str">
        <f aca="false">IF(P60="","",P60-LN(7))</f>
        <v/>
      </c>
      <c r="AE60" s="17" t="str">
        <f aca="false">IF(OR(T60="",S60=""),"",T60-S60)</f>
        <v/>
      </c>
      <c r="AF60" s="17" t="str">
        <f aca="false">IF(OR(V60="",Seeds!$C$8=""),"",V60-Seeds!$C$8)</f>
        <v/>
      </c>
      <c r="AG60" s="17" t="str">
        <f aca="false">IF(OR(AF60="",Seeds!$C$10=""),"",IF(ABS(AF60)&gt;Seeds!$C$10,"Có","Không"))</f>
        <v/>
      </c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7" t="str">
        <f aca="false">IF(P61="","",P61-LN(7))</f>
        <v/>
      </c>
      <c r="AE61" s="17" t="str">
        <f aca="false">IF(OR(T61="",S61=""),"",T61-S61)</f>
        <v/>
      </c>
      <c r="AF61" s="17" t="str">
        <f aca="false">IF(OR(V61="",Seeds!$C$8=""),"",V61-Seeds!$C$8)</f>
        <v/>
      </c>
      <c r="AG61" s="17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0" hidden="false" customHeight="true" outlineLevel="0" collapsed="false">
      <c r="A1" s="8" t="s">
        <v>242</v>
      </c>
      <c r="B1" s="8" t="s">
        <v>70</v>
      </c>
      <c r="C1" s="8" t="s">
        <v>73</v>
      </c>
      <c r="D1" s="8" t="s">
        <v>61</v>
      </c>
    </row>
    <row r="2" customFormat="false" ht="15" hidden="false" customHeight="true" outlineLevel="0" collapsed="false">
      <c r="A2" s="13" t="s">
        <v>124</v>
      </c>
      <c r="B2" s="17" t="n">
        <f aca="false">IF($A2="","",IFERROR(IF(INDEX(Experiments!$U$2:$U$61,MATCH($A2,Experiments!$A$2:$A$61,0))="","",INDEX(Experiments!$U$2:$U$61,MATCH($A2,Experiments!$A$2:$A$61,0))),""))</f>
        <v>0.909565198683333</v>
      </c>
      <c r="C2" s="17" t="n">
        <f aca="false">IF($A2="","",IFERROR(IF(INDEX(Experiments!$V$2:$V$61,MATCH($A2,Experiments!$A$2:$A$61,0))="","",INDEX(Experiments!$V$2:$V$61,MATCH($A2,Experiments!$A$2:$A$61,0))),""))</f>
        <v>0.859270029274157</v>
      </c>
      <c r="D2" s="17" t="n">
        <f aca="false">IF($A2="","",IFERROR(IF(INDEX(Experiments!$Q$2:$Q$61,MATCH($A2,Experiments!$A$2:$A$61,0))="","",INDEX(Experiments!$Q$2:$Q$61,MATCH($A2,Experiments!$A$2:$A$61,0))),""))</f>
        <v>0.230386783045635</v>
      </c>
    </row>
    <row r="3" customFormat="false" ht="15" hidden="false" customHeight="true" outlineLevel="0" collapsed="false">
      <c r="A3" s="13" t="s">
        <v>130</v>
      </c>
      <c r="B3" s="17" t="n">
        <f aca="false">IF($A3="","",IFERROR(IF(INDEX(Experiments!$U$2:$U$61,MATCH($A3,Experiments!$A$2:$A$61,0))="","",INDEX(Experiments!$U$2:$U$61,MATCH($A3,Experiments!$A$2:$A$61,0))),""))</f>
        <v>0.910630149953745</v>
      </c>
      <c r="C3" s="17" t="n">
        <f aca="false">IF($A3="","",IFERROR(IF(INDEX(Experiments!$V$2:$V$61,MATCH($A3,Experiments!$A$2:$A$61,0))="","",INDEX(Experiments!$V$2:$V$61,MATCH($A3,Experiments!$A$2:$A$61,0))),""))</f>
        <v>0.853304749176306</v>
      </c>
      <c r="D3" s="17" t="n">
        <f aca="false">IF($A3="","",IFERROR(IF(INDEX(Experiments!$Q$2:$Q$61,MATCH($A3,Experiments!$A$2:$A$61,0))="","",INDEX(Experiments!$Q$2:$Q$61,MATCH($A3,Experiments!$A$2:$A$61,0))),""))</f>
        <v>0.226554957435565</v>
      </c>
    </row>
    <row r="4" customFormat="false" ht="15" hidden="false" customHeight="true" outlineLevel="0" collapsed="false">
      <c r="A4" s="13" t="s">
        <v>133</v>
      </c>
      <c r="B4" s="17" t="n">
        <f aca="false">IF($A4="","",IFERROR(IF(INDEX(Experiments!$U$2:$U$61,MATCH($A4,Experiments!$A$2:$A$61,0))="","",INDEX(Experiments!$U$2:$U$61,MATCH($A4,Experiments!$A$2:$A$61,0))),""))</f>
        <v>0.90655321529227</v>
      </c>
      <c r="C4" s="17" t="n">
        <f aca="false">IF($A4="","",IFERROR(IF(INDEX(Experiments!$V$2:$V$61,MATCH($A4,Experiments!$A$2:$A$61,0))="","",INDEX(Experiments!$V$2:$V$61,MATCH($A4,Experiments!$A$2:$A$61,0))),""))</f>
        <v>0.856814138958052</v>
      </c>
      <c r="D4" s="17" t="n">
        <f aca="false">IF($A4="","",IFERROR(IF(INDEX(Experiments!$Q$2:$Q$61,MATCH($A4,Experiments!$A$2:$A$61,0))="","",INDEX(Experiments!$Q$2:$Q$61,MATCH($A4,Experiments!$A$2:$A$61,0))),""))</f>
        <v>0.233732096179084</v>
      </c>
    </row>
    <row r="5" customFormat="false" ht="15" hidden="false" customHeight="true" outlineLevel="0" collapsed="false">
      <c r="A5" s="14"/>
      <c r="B5" s="17" t="str">
        <f aca="false">IF($A5="","",IFERROR(IF(INDEX(Experiments!$U$2:$U$61,MATCH($A5,Experiments!$A$2:$A$61,0))="","",INDEX(Experiments!$U$2:$U$61,MATCH($A5,Experiments!$A$2:$A$61,0))),""))</f>
        <v/>
      </c>
      <c r="C5" s="17" t="str">
        <f aca="false">IF($A5="","",IFERROR(IF(INDEX(Experiments!$V$2:$V$61,MATCH($A5,Experiments!$A$2:$A$61,0))="","",INDEX(Experiments!$V$2:$V$61,MATCH($A5,Experiments!$A$2:$A$61,0))),""))</f>
        <v/>
      </c>
      <c r="D5" s="17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true" outlineLevel="0" collapsed="false">
      <c r="A6" s="14"/>
      <c r="B6" s="17" t="str">
        <f aca="false">IF($A6="","",IFERROR(IF(INDEX(Experiments!$U$2:$U$61,MATCH($A6,Experiments!$A$2:$A$61,0))="","",INDEX(Experiments!$U$2:$U$61,MATCH($A6,Experiments!$A$2:$A$61,0))),""))</f>
        <v/>
      </c>
      <c r="C6" s="17" t="str">
        <f aca="false">IF($A6="","",IFERROR(IF(INDEX(Experiments!$V$2:$V$61,MATCH($A6,Experiments!$A$2:$A$61,0))="","",INDEX(Experiments!$V$2:$V$61,MATCH($A6,Experiments!$A$2:$A$61,0))),""))</f>
        <v/>
      </c>
      <c r="D6" s="17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true" outlineLevel="0" collapsed="false">
      <c r="A8" s="18" t="s">
        <v>243</v>
      </c>
      <c r="B8" s="17" t="n">
        <f aca="false">IF(COUNT(B2:B6)=0,"",AVERAGE(B2:B6))</f>
        <v>0.908916187976449</v>
      </c>
      <c r="C8" s="17" t="n">
        <f aca="false">IF(COUNT(C2:C6)=0,"",AVERAGE(C2:C6))</f>
        <v>0.856462972469505</v>
      </c>
      <c r="D8" s="17" t="n">
        <f aca="false">IF(COUNT(D2:D6)=0,"",AVERAGE(D2:D6))</f>
        <v>0.230224612220095</v>
      </c>
    </row>
    <row r="9" customFormat="false" ht="15" hidden="false" customHeight="true" outlineLevel="0" collapsed="false">
      <c r="A9" s="18" t="s">
        <v>244</v>
      </c>
      <c r="B9" s="17" t="n">
        <f aca="false">IF(COUNT(B2:B6)&lt;2,"",STDEV(B2:B6))</f>
        <v>0.00211453546475832</v>
      </c>
      <c r="C9" s="17" t="n">
        <f aca="false">IF(COUNT(C2:C6)&lt;2,"",STDEV(C2:C6))</f>
        <v>0.00299810441587082</v>
      </c>
      <c r="D9" s="17" t="n">
        <f aca="false">IF(COUNT(D2:D6)&lt;2,"",STDEV(D2:D6))</f>
        <v>0.00359131656477424</v>
      </c>
    </row>
    <row r="10" customFormat="false" ht="15" hidden="false" customHeight="true" outlineLevel="0" collapsed="false">
      <c r="A10" s="18" t="s">
        <v>245</v>
      </c>
      <c r="B10" s="17" t="n">
        <f aca="false">IF(B9="","",2*B9)</f>
        <v>0.00422907092951663</v>
      </c>
      <c r="C10" s="17" t="n">
        <f aca="false">IF(C9="","",2*C9)</f>
        <v>0.00599620883174164</v>
      </c>
      <c r="D10" s="17" t="n">
        <f aca="false">IF(D9="","",2*D9)</f>
        <v>0.00718263312954847</v>
      </c>
    </row>
    <row r="12" customFormat="false" ht="15" hidden="false" customHeight="true" outlineLevel="0" collapsed="false">
      <c r="A12" s="3" t="s">
        <v>246</v>
      </c>
    </row>
    <row r="13" customFormat="false" ht="15" hidden="false" customHeight="true" outlineLevel="0" collapsed="false">
      <c r="A13" s="3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8" t="s">
        <v>21</v>
      </c>
      <c r="B1" s="8" t="s">
        <v>248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</row>
    <row r="2" customFormat="false" ht="15" hidden="false" customHeight="true" outlineLevel="0" collapsed="false">
      <c r="A2" s="12" t="s">
        <v>125</v>
      </c>
      <c r="B2" s="19" t="n">
        <f aca="false">COUNTIF(Experiments!$B$2:$B$61,A2)</f>
        <v>3</v>
      </c>
      <c r="C2" s="19" t="n">
        <f aca="false">COUNTIFS(Experiments!$B$2:$B$61,A2,Experiments!$V$2:$V$61,"&lt;&gt;")</f>
        <v>3</v>
      </c>
      <c r="D2" s="17" t="n">
        <f aca="false">IF(C2=0,"",_xlfn.MAXIFS(Experiments!$V$2:$V$61,Experiments!$B$2:$B$61,A2))</f>
        <v>0.859270029274157</v>
      </c>
      <c r="E2" s="17" t="n">
        <f aca="false">IF(C2=0,"",_xlfn.MINIFS(Experiments!$V$2:$V$61,Experiments!$B$2:$B$61,A2))</f>
        <v>0.853304749176306</v>
      </c>
      <c r="F2" s="17" t="n">
        <f aca="false">IF(C2=0,"",_xlfn.MAXIFS(Experiments!$U$2:$U$61,Experiments!$B$2:$B$61,A2))</f>
        <v>0.910630149953745</v>
      </c>
      <c r="G2" s="19" t="s">
        <v>255</v>
      </c>
      <c r="H2" s="20" t="s">
        <v>256</v>
      </c>
    </row>
    <row r="3" customFormat="false" ht="15" hidden="false" customHeight="true" outlineLevel="0" collapsed="false">
      <c r="A3" s="12" t="s">
        <v>27</v>
      </c>
      <c r="B3" s="19" t="n">
        <f aca="false">COUNTIF(Experiments!$B$2:$B$61,A3)</f>
        <v>1</v>
      </c>
      <c r="C3" s="19" t="n">
        <f aca="false">COUNTIFS(Experiments!$B$2:$B$61,A3,Experiments!$V$2:$V$61,"&lt;&gt;")</f>
        <v>1</v>
      </c>
      <c r="D3" s="17" t="n">
        <f aca="false">IF(C3=0,"",_xlfn.MAXIFS(Experiments!$V$2:$V$61,Experiments!$B$2:$B$61,A3))</f>
        <v>0.737696742992796</v>
      </c>
      <c r="E3" s="17" t="n">
        <f aca="false">IF(C3=0,"",_xlfn.MINIFS(Experiments!$V$2:$V$61,Experiments!$B$2:$B$61,A3))</f>
        <v>0.737696742992796</v>
      </c>
      <c r="F3" s="17" t="n">
        <f aca="false">IF(C3=0,"",_xlfn.MAXIFS(Experiments!$U$2:$U$61,Experiments!$B$2:$B$61,A3))</f>
        <v>0.871872377960887</v>
      </c>
      <c r="G3" s="19" t="str">
        <f aca="false">IF(C3&gt;0,"Có","Chưa")</f>
        <v>Có</v>
      </c>
      <c r="H3" s="20" t="s">
        <v>257</v>
      </c>
    </row>
    <row r="4" customFormat="false" ht="15" hidden="false" customHeight="true" outlineLevel="0" collapsed="false">
      <c r="A4" s="12" t="s">
        <v>29</v>
      </c>
      <c r="B4" s="19" t="n">
        <f aca="false">COUNTIF(Experiments!$B$2:$B$61,A4)</f>
        <v>12</v>
      </c>
      <c r="C4" s="19" t="n">
        <f aca="false">COUNTIFS(Experiments!$B$2:$B$61,A4,Experiments!$V$2:$V$61,"&lt;&gt;")</f>
        <v>12</v>
      </c>
      <c r="D4" s="17" t="n">
        <f aca="false">IF(C4=0,"",_xlfn.MAXIFS(Experiments!$V$2:$V$61,Experiments!$B$2:$B$61,A4))</f>
        <v>0.879380496253194</v>
      </c>
      <c r="E4" s="17" t="n">
        <f aca="false">IF(C4=0,"",_xlfn.MINIFS(Experiments!$V$2:$V$61,Experiments!$B$2:$B$61,A4))</f>
        <v>0.557784003614034</v>
      </c>
      <c r="F4" s="17" t="n">
        <f aca="false">IF(C4=0,"",_xlfn.MAXIFS(Experiments!$U$2:$U$61,Experiments!$B$2:$B$61,A4))</f>
        <v>0.917794367591059</v>
      </c>
      <c r="G4" s="19" t="str">
        <f aca="false">IF(C4&gt;0,"Có","Chưa")</f>
        <v>Có</v>
      </c>
      <c r="H4" s="20" t="s">
        <v>258</v>
      </c>
    </row>
    <row r="5" customFormat="false" ht="15" hidden="false" customHeight="true" outlineLevel="0" collapsed="false">
      <c r="A5" s="12" t="s">
        <v>137</v>
      </c>
      <c r="B5" s="19" t="n">
        <f aca="false">COUNTIF(Experiments!$B$2:$B$61,A5)</f>
        <v>5</v>
      </c>
      <c r="C5" s="19" t="n">
        <f aca="false">COUNTIFS(Experiments!$B$2:$B$61,A5,Experiments!$V$2:$V$61,"&lt;&gt;")</f>
        <v>5</v>
      </c>
      <c r="D5" s="17" t="n">
        <f aca="false">IF(C5=0,"",_xlfn.MAXIFS(Experiments!$V$2:$V$61,Experiments!$B$2:$B$61,A5))</f>
        <v>0.856262997119289</v>
      </c>
      <c r="E5" s="17" t="n">
        <f aca="false">IF(C5=0,"",_xlfn.MINIFS(Experiments!$V$2:$V$61,Experiments!$B$2:$B$61,A5))</f>
        <v>0.626644172240122</v>
      </c>
      <c r="F5" s="17" t="n">
        <f aca="false">IF(C5=0,"",_xlfn.MAXIFS(Experiments!$U$2:$U$61,Experiments!$B$2:$B$61,A5))</f>
        <v>0.912835352079344</v>
      </c>
      <c r="G5" s="19" t="str">
        <f aca="false">IF(C5&gt;0,"Có","Chưa")</f>
        <v>Có</v>
      </c>
      <c r="H5" s="20" t="s">
        <v>259</v>
      </c>
    </row>
    <row r="6" customFormat="false" ht="15" hidden="false" customHeight="true" outlineLevel="0" collapsed="false">
      <c r="A6" s="12" t="s">
        <v>46</v>
      </c>
      <c r="B6" s="19" t="n">
        <f aca="false">COUNTIF(Experiments!$B$2:$B$61,A6)</f>
        <v>1</v>
      </c>
      <c r="C6" s="19" t="n">
        <f aca="false">COUNTIFS(Experiments!$B$2:$B$61,A6,Experiments!$V$2:$V$61,"&lt;&gt;")</f>
        <v>1</v>
      </c>
      <c r="D6" s="17" t="n">
        <f aca="false">IF(C6=0,"",_xlfn.MAXIFS(Experiments!$V$2:$V$61,Experiments!$B$2:$B$61,A6))</f>
        <v>0.772995290486075</v>
      </c>
      <c r="E6" s="17" t="n">
        <f aca="false">IF(C6=0,"",_xlfn.MINIFS(Experiments!$V$2:$V$61,Experiments!$B$2:$B$61,A6))</f>
        <v>0.772995290486075</v>
      </c>
      <c r="F6" s="17" t="n">
        <f aca="false">IF(C6=0,"",_xlfn.MAXIFS(Experiments!$U$2:$U$61,Experiments!$B$2:$B$61,A6))</f>
        <v>0.868548439147178</v>
      </c>
      <c r="G6" s="19" t="str">
        <f aca="false">IF(C6&gt;0,"Có","Chưa")</f>
        <v>Có</v>
      </c>
      <c r="H6" s="20" t="s">
        <v>260</v>
      </c>
    </row>
    <row r="7" customFormat="false" ht="15" hidden="false" customHeight="true" outlineLevel="0" collapsed="false">
      <c r="A7" s="12" t="s">
        <v>146</v>
      </c>
      <c r="B7" s="19" t="n">
        <f aca="false">COUNTIF(Experiments!$B$2:$B$61,A7)</f>
        <v>3</v>
      </c>
      <c r="C7" s="19" t="n">
        <f aca="false">COUNTIFS(Experiments!$B$2:$B$61,A7,Experiments!$V$2:$V$61,"&lt;&gt;")</f>
        <v>3</v>
      </c>
      <c r="D7" s="17" t="n">
        <f aca="false">IF(C7=0,"",_xlfn.MAXIFS(Experiments!$V$2:$V$61,Experiments!$B$2:$B$61,A7))</f>
        <v>0.851424968773538</v>
      </c>
      <c r="E7" s="17" t="n">
        <f aca="false">IF(C7=0,"",_xlfn.MINIFS(Experiments!$V$2:$V$61,Experiments!$B$2:$B$61,A7))</f>
        <v>0.625540164326342</v>
      </c>
      <c r="F7" s="17" t="n">
        <f aca="false">IF(C7=0,"",_xlfn.MAXIFS(Experiments!$U$2:$U$61,Experiments!$B$2:$B$61,A7))</f>
        <v>0.905111766097976</v>
      </c>
      <c r="G7" s="19" t="str">
        <f aca="false">IF(C7&gt;0,"Có","Chưa")</f>
        <v>Có</v>
      </c>
      <c r="H7" s="20" t="s">
        <v>261</v>
      </c>
    </row>
    <row r="8" customFormat="false" ht="15" hidden="false" customHeight="true" outlineLevel="0" collapsed="false">
      <c r="A8" s="12" t="s">
        <v>114</v>
      </c>
      <c r="B8" s="19" t="n">
        <f aca="false">COUNTIF(Experiments!$B$2:$B$61,A8)</f>
        <v>1</v>
      </c>
      <c r="C8" s="19" t="n">
        <f aca="false">COUNTIFS(Experiments!$B$2:$B$61,A8,Experiments!$V$2:$V$61,"&lt;&gt;")</f>
        <v>1</v>
      </c>
      <c r="D8" s="17" t="n">
        <f aca="false">IF(C8=0,"",_xlfn.MAXIFS(Experiments!$V$2:$V$61,Experiments!$B$2:$B$61,A8))</f>
        <v>0.850701460774701</v>
      </c>
      <c r="E8" s="17" t="n">
        <f aca="false">IF(C8=0,"",_xlfn.MINIFS(Experiments!$V$2:$V$61,Experiments!$B$2:$B$61,A8))</f>
        <v>0.850701460774701</v>
      </c>
      <c r="F8" s="17" t="n">
        <f aca="false">IF(C8=0,"",_xlfn.MAXIFS(Experiments!$U$2:$U$61,Experiments!$B$2:$B$61,A8))</f>
        <v>0.907499838643747</v>
      </c>
      <c r="G8" s="19" t="str">
        <f aca="false">IF(C8&gt;0,"Có","Chưa")</f>
        <v>Có</v>
      </c>
      <c r="H8" s="20" t="s">
        <v>262</v>
      </c>
    </row>
    <row r="9" customFormat="false" ht="15" hidden="false" customHeight="true" outlineLevel="0" collapsed="false">
      <c r="A9" s="12" t="s">
        <v>53</v>
      </c>
      <c r="B9" s="19" t="n">
        <f aca="false">COUNTIF(Experiments!$B$2:$B$61,A9)</f>
        <v>3</v>
      </c>
      <c r="C9" s="19" t="n">
        <f aca="false">COUNTIFS(Experiments!$B$2:$B$61,A9,Experiments!$V$2:$V$61,"&lt;&gt;")</f>
        <v>3</v>
      </c>
      <c r="D9" s="17" t="n">
        <f aca="false">IF(C9=0,"",_xlfn.MAXIFS(Experiments!$V$2:$V$61,Experiments!$B$2:$B$61,A9))</f>
        <v>0.848025699758843</v>
      </c>
      <c r="E9" s="17" t="n">
        <f aca="false">IF(C9=0,"",_xlfn.MINIFS(Experiments!$V$2:$V$61,Experiments!$B$2:$B$61,A9))</f>
        <v>0.0936499901862546</v>
      </c>
      <c r="F9" s="17" t="n">
        <f aca="false">IF(C9=0,"",_xlfn.MAXIFS(Experiments!$U$2:$U$61,Experiments!$B$2:$B$61,A9))</f>
        <v>0.905402207353542</v>
      </c>
      <c r="G9" s="19" t="str">
        <f aca="false">IF(C9&gt;0,"Có","Chưa")</f>
        <v>Có</v>
      </c>
      <c r="H9" s="20" t="s">
        <v>263</v>
      </c>
    </row>
    <row r="10" customFormat="false" ht="15" hidden="false" customHeight="true" outlineLevel="0" collapsed="false">
      <c r="A10" s="12" t="s">
        <v>155</v>
      </c>
      <c r="B10" s="19" t="n">
        <f aca="false">COUNTIF(Experiments!$B$2:$B$61,A10)</f>
        <v>2</v>
      </c>
      <c r="C10" s="19" t="n">
        <f aca="false">COUNTIFS(Experiments!$B$2:$B$61,A10,Experiments!$V$2:$V$61,"&lt;&gt;")</f>
        <v>2</v>
      </c>
      <c r="D10" s="17" t="n">
        <f aca="false">IF(C10=0,"",_xlfn.MAXIFS(Experiments!$V$2:$V$61,Experiments!$B$2:$B$61,A10))</f>
        <v>0.873485303752404</v>
      </c>
      <c r="E10" s="17" t="n">
        <f aca="false">IF(C10=0,"",_xlfn.MINIFS(Experiments!$V$2:$V$61,Experiments!$B$2:$B$61,A10))</f>
        <v>0.872256696180673</v>
      </c>
      <c r="F10" s="17" t="n">
        <f aca="false">IF(C10=0,"",_xlfn.MAXIFS(Experiments!$U$2:$U$61,Experiments!$B$2:$B$61,A10))</f>
        <v>0.915987177556421</v>
      </c>
      <c r="G10" s="19" t="s">
        <v>255</v>
      </c>
      <c r="H10" s="20" t="s">
        <v>264</v>
      </c>
    </row>
    <row r="11" customFormat="false" ht="15" hidden="false" customHeight="true" outlineLevel="0" collapsed="false">
      <c r="A11" s="12" t="s">
        <v>265</v>
      </c>
      <c r="B11" s="19" t="n">
        <f aca="false">COUNTIF(Experiments!$B$2:$B$61,A11)</f>
        <v>0</v>
      </c>
      <c r="C11" s="19" t="n">
        <f aca="false">COUNTIFS(Experiments!$B$2:$B$61,A11,Experiments!$V$2:$V$61,"&lt;&gt;")</f>
        <v>0</v>
      </c>
      <c r="D11" s="17" t="str">
        <f aca="false">IF(C11=0,"",_xlfn.MAXIFS(Experiments!$V$2:$V$61,Experiments!$B$2:$B$61,A11))</f>
        <v/>
      </c>
      <c r="E11" s="17" t="str">
        <f aca="false">IF(C11=0,"",_xlfn.MINIFS(Experiments!$V$2:$V$61,Experiments!$B$2:$B$61,A11))</f>
        <v/>
      </c>
      <c r="F11" s="17" t="str">
        <f aca="false">IF(C11=0,"",_xlfn.MAXIFS(Experiments!$U$2:$U$61,Experiments!$B$2:$B$61,A11))</f>
        <v/>
      </c>
      <c r="G11" s="19" t="s">
        <v>255</v>
      </c>
      <c r="H11" s="20"/>
    </row>
    <row r="13" customFormat="false" ht="15" hidden="false" customHeight="true" outlineLevel="0" collapsed="false">
      <c r="A13" s="4" t="s">
        <v>266</v>
      </c>
      <c r="D13" s="4" t="n">
        <f aca="false">COUNTIF(G2:G11,"Có")</f>
        <v>7</v>
      </c>
    </row>
    <row r="14" customFormat="false" ht="15" hidden="false" customHeight="true" outlineLevel="0" collapsed="false">
      <c r="A14" s="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2026-10-03T05:49:52Z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